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03"/>
  <workbookPr codeName="ThisWorkbook" defaultThemeVersion="124226"/>
  <mc:AlternateContent xmlns:mc="http://schemas.openxmlformats.org/markup-compatibility/2006">
    <mc:Choice Requires="x15">
      <x15ac:absPath xmlns:x15ac="http://schemas.microsoft.com/office/spreadsheetml/2010/11/ac" url="E:\PROYECTOS\Arena&amp;Gravas\ejemplo Control producción 816-17\material_contruccion\"/>
    </mc:Choice>
  </mc:AlternateContent>
  <xr:revisionPtr revIDLastSave="0" documentId="13_ncr:1_{31FD626D-F6B7-406C-814D-CDD927316582}" xr6:coauthVersionLast="47" xr6:coauthVersionMax="47" xr10:uidLastSave="{00000000-0000-0000-0000-000000000000}"/>
  <bookViews>
    <workbookView xWindow="28680" yWindow="-120" windowWidth="29040" windowHeight="15840" activeTab="1" xr2:uid="{00000000-000D-0000-FFFF-FFFF00000000}"/>
  </bookViews>
  <sheets>
    <sheet name="Registro de Información" sheetId="8" r:id="rId1"/>
    <sheet name="Descripción" sheetId="10" r:id="rId2"/>
    <sheet name="Listado" sheetId="11" state="hidden" r:id="rId3"/>
  </sheets>
  <definedNames>
    <definedName name="_xlnm._FilterDatabase" localSheetId="1" hidden="1">Descripción!$B$15:$E$23</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OLE_LINK1" localSheetId="1">Descripción!#REF!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8" l="1"/>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2" i="8"/>
</calcChain>
</file>

<file path=xl/sharedStrings.xml><?xml version="1.0" encoding="utf-8"?>
<sst xmlns="http://schemas.openxmlformats.org/spreadsheetml/2006/main" count="117" uniqueCount="82">
  <si>
    <t>Fecha_corte_informacion_reportada</t>
  </si>
  <si>
    <t>Mineral</t>
  </si>
  <si>
    <t>Titulo_minero</t>
  </si>
  <si>
    <t>Unidad_de_medida_inventarios</t>
  </si>
  <si>
    <t>Inventario_inicial_acopio</t>
  </si>
  <si>
    <t>Inventario_final_acopio</t>
  </si>
  <si>
    <t>Ingreso_acopio</t>
  </si>
  <si>
    <t>Salida_acopio</t>
  </si>
  <si>
    <t>ARENAS</t>
  </si>
  <si>
    <t>816-17</t>
  </si>
  <si>
    <t>GRAVAS</t>
  </si>
  <si>
    <t>Formato de registro de Información - Mineral: Materiales de Construcción - Contenido: Inventarios</t>
  </si>
  <si>
    <t>1. Nombre Físico</t>
  </si>
  <si>
    <t>Inventarios_TITULAR_DDMMAA.XLSX</t>
  </si>
  <si>
    <t>1.1     Regla de Fecha</t>
  </si>
  <si>
    <r>
      <t xml:space="preserve">Fecha: debe corresponder a la fecha del corte del periodo que está cargando. Ej. Si el archivo se desea cargar corresponde al mes de diciembre de 2020, la referencia de la fecha debe ser 301121
El nombre completo del archivo seria: </t>
    </r>
    <r>
      <rPr>
        <b/>
        <i/>
        <sz val="12"/>
        <color theme="4"/>
        <rFont val="Calibri"/>
        <family val="2"/>
        <scheme val="minor"/>
      </rPr>
      <t>inventarios_TIT_311220.xlsx</t>
    </r>
  </si>
  <si>
    <t>1.2     Extensión</t>
  </si>
  <si>
    <t>.xlsx à Archivo xlsx</t>
  </si>
  <si>
    <t>2. Descripción del Archivo</t>
  </si>
  <si>
    <t>2.1 Contenido del archivo:</t>
  </si>
  <si>
    <t>Archivo con la información relacionada con los inventarios</t>
  </si>
  <si>
    <t>2.1 Frecuencia de reporte</t>
  </si>
  <si>
    <t>Mensual</t>
  </si>
  <si>
    <t>2.2 Detalle de la información</t>
  </si>
  <si>
    <t>Corte al ultimo día del mes</t>
  </si>
  <si>
    <t>3.Características del Archivo</t>
  </si>
  <si>
    <t>3.1 Tabla de caracteres: ASCII</t>
  </si>
  <si>
    <t>3.2 Tipo de archivo:  xlsx</t>
  </si>
  <si>
    <t>4. Descripción de los Campos</t>
  </si>
  <si>
    <t>4.1 Registro Detalle</t>
  </si>
  <si>
    <t>Nombre campo</t>
  </si>
  <si>
    <t>Tipo de Dato</t>
  </si>
  <si>
    <t>Descripción</t>
  </si>
  <si>
    <t>Fecha</t>
  </si>
  <si>
    <t>Fecha de cada registro con las cifras de inventarios (formato DD/MM/AAAA), con corte al ultimo día de cada mes que conforma el trimestre. (colocar la fecha final de cada corte)</t>
  </si>
  <si>
    <t>Variable</t>
  </si>
  <si>
    <t>Alfanumérico</t>
  </si>
  <si>
    <t>Nombre del mineral explotado, de acuerdo con lo reportado en la declaración de regalías (Clasificación UPME)</t>
  </si>
  <si>
    <t>Instrumento/Documento en el cual el Estado Colombiano otorga el derecho a explorar y explotar el suelo y el subsuelo, y sobre el cual se está referenciando la información reportada</t>
  </si>
  <si>
    <t>Fijo</t>
  </si>
  <si>
    <t>Unidad de medida en la que se expresan las diferentes cifras relacionadas con la producción de acuerdo UPME</t>
  </si>
  <si>
    <t>Numérico</t>
  </si>
  <si>
    <t>Cantidad de inventario del mineral al inicio del mes del titulo minero en boca de mina (acopio de mineral antes de planta de beneficio). Valor absoluto a nivel de metros cúbicos. Máximo con dos decimales.</t>
  </si>
  <si>
    <t>Cantidad de inventario del mineral al final del mes del titulo minero en boca de mina (acopio de mineral antes de planta de beneficio). Valor absoluto a nivel de metros cúbicos. Máximo con dos decimales.</t>
  </si>
  <si>
    <t>Volumen/Cantidad de material consolidado que ingresa al patio de acopio de material explotado, para mediana y gran minería debería ser medido en bascula.</t>
  </si>
  <si>
    <t>Volumen/Cantidad de material consolidado que sale del patio de acopio de material explotado, para mediana y gran minería debería ser medido en bascula.</t>
  </si>
  <si>
    <t>5. Características Adicionales</t>
  </si>
  <si>
    <t>5.1 Validaciones y filtros: El archivo no debe tener Campos en blanco, por lo tanto cuando se trate de campos alfanuméricos se deberá por defecto dejar un Guion "-" en el caso de ausencia de información. Y para campos numéricos cero "0"</t>
  </si>
  <si>
    <t>5.2 Manejo de Códigos: Dentro del Formato de registro de Información se incluyen campos de códigos que apoyan la integridad de los datos al momento de centralizar la información de la bodega, por lo tanto se debe colocar los códigos que se maneja en los sistemas fuentes. Si no existe se debe garantizar que la descripción va ser única dentro de los diversos Formatos de registro de Información. (Ej: código de municipio DANE)</t>
  </si>
  <si>
    <t>5.3 Método de explotación: Cuando se tienen ambos métodos de explotación para el titulo (cantera y arrastre), se debe diligenciar en 2 filas independientes dentro de la misma sabana la información correspondiente y que aplique para cada método de explotación.</t>
  </si>
  <si>
    <t>5.4 En caso de que la operación corresponda a varios títulos, se debe diligenciar toda la información discriminada por cada titulo</t>
  </si>
  <si>
    <t>5.4 Para el diligenciamiento del campo "Mineral", el formato de registro de información incluye listas desplegables para facilitar su diligenciamiento, una vez seleccionado un mineral se diligencia automáticamente "Unidad_de_medida_inventarios" (No permite diligenciar manualmente estos campos).
En caso de requerirse borrar información ya diligenciada en el formato para los campos "Unidad_de_medida_inventarios", tener en cuenta que esta desaparece automáticamente al borrar la información contenida en el campo "Mineral".</t>
  </si>
  <si>
    <t>5.5. Terminología técnica: Los términos técnicos utilizados en el formato están tomados del glosario técnico el cual fue reglamentado en La ley 685 de 2001, Código de Minas vigente, en su Artículo 68 y consiste en una lista de definiciones y términos técnicos en materia minera que serán de obligatorio uso por los particulares y por las autoridades y funcionarios en la elaboración, presentación y expedición de documentos, solicitudes y providencias”.</t>
  </si>
  <si>
    <t>6. Información del Documento</t>
  </si>
  <si>
    <t>6.1 Versión</t>
  </si>
  <si>
    <t>1.4</t>
  </si>
  <si>
    <t>6.2 Autor</t>
  </si>
  <si>
    <t>ANM</t>
  </si>
  <si>
    <t>6.3 Fecha de Creación</t>
  </si>
  <si>
    <t>6.4. Control de Versiones</t>
  </si>
  <si>
    <t>Versión</t>
  </si>
  <si>
    <t>Descripción de la modificación</t>
  </si>
  <si>
    <t>Quien realiza la modificación</t>
  </si>
  <si>
    <t>1.0</t>
  </si>
  <si>
    <t>Creación Documento</t>
  </si>
  <si>
    <t>EY (Leonardo Parra)</t>
  </si>
  <si>
    <t>1.1</t>
  </si>
  <si>
    <t>Actualización</t>
  </si>
  <si>
    <t>ANM (Carlos Arango)</t>
  </si>
  <si>
    <t>1.2</t>
  </si>
  <si>
    <t>ANM (Grupo Control a la Producción)</t>
  </si>
  <si>
    <t>1.3</t>
  </si>
  <si>
    <t>Actualización modelo estándar</t>
  </si>
  <si>
    <t>Unidad_medida_volumen</t>
  </si>
  <si>
    <t>m3</t>
  </si>
  <si>
    <t>ARENAS (DE RIO)</t>
  </si>
  <si>
    <t>GRAVAS (DE RIO)</t>
  </si>
  <si>
    <t>BASALTO</t>
  </si>
  <si>
    <t>t</t>
  </si>
  <si>
    <t>DIABASA</t>
  </si>
  <si>
    <t>RECEBO</t>
  </si>
  <si>
    <t>ASFALTO NATURAL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</si>
</sst>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1"/>
      <color theme="1"/>
      <name val="Calibri"/>
      <family val="2"/>
      <scheme val="minor"/>
    </font>
    <font>
      <sz val="11"/>
      <color indexed="8"/>
      <name val="Calibri"/>
      <family val="2"/>
    </font>
    <font>
      <sz val="10"/>
      <name val="Arial"/>
      <family val="2"/>
    </font>
    <font>
      <sz val="12"/>
      <color theme="1"/>
      <name val="Calibri"/>
      <family val="2"/>
      <scheme val="minor"/>
    </font>
    <font>
      <sz val="11"/>
      <color rgb="FF006100"/>
      <name val="Calibri"/>
      <family val="2"/>
      <scheme val="minor"/>
    </font>
    <font>
      <b/>
      <sz val="16"/>
      <color theme="1"/>
      <name val="Calibri"/>
      <family val="2"/>
      <scheme val="minor"/>
    </font>
    <font>
      <b/>
      <sz val="12"/>
      <color theme="1"/>
      <name val="Calibri"/>
      <family val="2"/>
      <scheme val="minor"/>
    </font>
    <font>
      <i/>
      <sz val="12"/>
      <color theme="1"/>
      <name val="Calibri"/>
      <family val="2"/>
      <scheme val="minor"/>
    </font>
    <font>
      <sz val="11"/>
      <color rgb="FFFF0000"/>
      <name val="Calibri"/>
      <family val="2"/>
      <scheme val="minor"/>
    </font>
    <font>
      <sz val="12"/>
      <name val="Calibri"/>
      <family val="2"/>
      <scheme val="minor"/>
    </font>
    <font>
      <b/>
      <i/>
      <sz val="12"/>
      <color theme="4"/>
      <name val="Calibri"/>
      <family val="2"/>
      <scheme val="minor"/>
    </font>
    <font>
      <sz val="11"/>
      <color rgb="FF00000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C6EFCE"/>
      </patternFill>
    </fill>
    <fill>
      <patternFill patternType="solid">
        <fgColor theme="0" tint="-4.9989318521683403E-2"/>
        <bgColor indexed="64"/>
      </patternFill>
    </fill>
    <fill>
      <patternFill patternType="solid">
        <fgColor rgb="FF92D050"/>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5">
    <xf numFmtId="0" fontId="0" fillId="0" borderId="0"/>
    <xf numFmtId="0" fontId="1" fillId="0" borderId="0"/>
    <xf numFmtId="0" fontId="2" fillId="0" borderId="0"/>
    <xf numFmtId="0" fontId="1" fillId="0" borderId="0"/>
    <xf numFmtId="0" fontId="4" fillId="4" borderId="0" applyNumberFormat="0" applyBorder="0" applyAlignment="0" applyProtection="0"/>
  </cellStyleXfs>
  <cellXfs count="99">
    <xf numFmtId="0" fontId="0" fillId="0" borderId="0" xfId="0"/>
    <xf numFmtId="0" fontId="3" fillId="0" borderId="0" xfId="0" applyFont="1"/>
    <xf numFmtId="0" fontId="3" fillId="0" borderId="1" xfId="0" applyFont="1" applyBorder="1" applyAlignment="1">
      <alignment horizontal="center" vertical="center" wrapText="1"/>
    </xf>
    <xf numFmtId="0" fontId="3" fillId="0" borderId="3" xfId="0" applyFont="1" applyBorder="1" applyAlignment="1">
      <alignment vertical="center" wrapText="1"/>
    </xf>
    <xf numFmtId="0" fontId="8" fillId="0" borderId="0" xfId="0" applyFont="1"/>
    <xf numFmtId="15" fontId="3" fillId="0" borderId="1" xfId="0" applyNumberFormat="1" applyFont="1" applyBorder="1" applyAlignment="1">
      <alignment horizontal="center" vertical="center" wrapText="1"/>
    </xf>
    <xf numFmtId="0" fontId="7" fillId="0" borderId="1" xfId="0" applyFont="1" applyBorder="1" applyAlignment="1">
      <alignment vertical="center" wrapText="1"/>
    </xf>
    <xf numFmtId="0" fontId="3" fillId="0" borderId="3" xfId="0" applyFont="1" applyBorder="1"/>
    <xf numFmtId="0" fontId="9" fillId="3" borderId="1" xfId="4" applyFont="1" applyFill="1" applyBorder="1" applyAlignment="1">
      <alignment horizontal="center" vertical="center"/>
    </xf>
    <xf numFmtId="0" fontId="3" fillId="3" borderId="1" xfId="4" applyFont="1" applyFill="1" applyBorder="1" applyAlignment="1">
      <alignment horizontal="center" vertical="center"/>
    </xf>
    <xf numFmtId="0" fontId="3" fillId="0" borderId="3" xfId="0" applyFont="1" applyBorder="1" applyAlignment="1">
      <alignment vertical="center"/>
    </xf>
    <xf numFmtId="0" fontId="8" fillId="0" borderId="0" xfId="0" applyFont="1" applyAlignment="1">
      <alignment vertical="center" wrapText="1"/>
    </xf>
    <xf numFmtId="0" fontId="9" fillId="2" borderId="1" xfId="4" applyFont="1" applyFill="1" applyBorder="1" applyAlignment="1" applyProtection="1">
      <alignment vertical="center" wrapText="1"/>
      <protection hidden="1"/>
    </xf>
    <xf numFmtId="0" fontId="9" fillId="3" borderId="10" xfId="4" applyFont="1" applyFill="1" applyBorder="1" applyAlignment="1">
      <alignment horizontal="center" vertical="center"/>
    </xf>
    <xf numFmtId="0" fontId="9" fillId="3" borderId="11" xfId="4" applyFont="1" applyFill="1" applyBorder="1" applyAlignment="1">
      <alignment horizontal="left" vertical="center" wrapText="1"/>
    </xf>
    <xf numFmtId="15" fontId="3" fillId="0" borderId="5" xfId="0" applyNumberFormat="1" applyFont="1" applyBorder="1" applyAlignment="1">
      <alignment horizontal="center" vertical="center" wrapText="1"/>
    </xf>
    <xf numFmtId="0" fontId="7" fillId="0" borderId="5" xfId="0" applyFont="1" applyBorder="1" applyAlignment="1">
      <alignment vertical="center" wrapText="1"/>
    </xf>
    <xf numFmtId="0" fontId="3" fillId="0" borderId="6" xfId="0" applyFont="1" applyBorder="1" applyAlignment="1">
      <alignment vertical="center"/>
    </xf>
    <xf numFmtId="0" fontId="3" fillId="0" borderId="0" xfId="0" applyFont="1" applyAlignment="1">
      <alignment vertical="center" wrapText="1"/>
    </xf>
    <xf numFmtId="0" fontId="9" fillId="5" borderId="1" xfId="4" applyFont="1" applyFill="1" applyBorder="1" applyAlignment="1" applyProtection="1">
      <alignment vertical="center" wrapText="1"/>
    </xf>
    <xf numFmtId="0" fontId="6" fillId="2" borderId="15"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center"/>
    </xf>
    <xf numFmtId="0" fontId="11" fillId="0" borderId="1" xfId="0" applyFont="1" applyBorder="1" applyAlignment="1">
      <alignment vertical="center" wrapText="1"/>
    </xf>
    <xf numFmtId="0" fontId="3" fillId="2" borderId="15" xfId="0" applyFont="1" applyFill="1" applyBorder="1" applyAlignment="1">
      <alignment vertical="center" wrapText="1"/>
    </xf>
    <xf numFmtId="0" fontId="3" fillId="3" borderId="0" xfId="0" applyFont="1" applyFill="1"/>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14" fontId="3" fillId="0" borderId="10" xfId="0" applyNumberFormat="1" applyFont="1" applyBorder="1" applyAlignment="1" applyProtection="1">
      <alignment horizontal="center" vertical="center" wrapText="1"/>
      <protection locked="0"/>
    </xf>
    <xf numFmtId="0" fontId="9" fillId="3" borderId="1" xfId="4" applyFont="1" applyFill="1" applyBorder="1" applyAlignment="1" applyProtection="1">
      <alignment vertical="center"/>
      <protection locked="0"/>
    </xf>
    <xf numFmtId="0" fontId="9" fillId="0" borderId="1" xfId="4" applyFont="1" applyFill="1" applyBorder="1" applyAlignment="1" applyProtection="1">
      <alignment vertical="center"/>
      <protection locked="0"/>
    </xf>
    <xf numFmtId="0" fontId="9" fillId="0" borderId="1" xfId="4" applyFont="1" applyFill="1" applyBorder="1" applyAlignment="1" applyProtection="1">
      <alignment vertical="center"/>
      <protection locked="0" hidden="1"/>
    </xf>
    <xf numFmtId="2" fontId="9" fillId="0" borderId="1" xfId="4" applyNumberFormat="1" applyFont="1" applyFill="1" applyBorder="1" applyAlignment="1" applyProtection="1">
      <alignment vertical="center"/>
      <protection locked="0"/>
    </xf>
    <xf numFmtId="0" fontId="3" fillId="0" borderId="0" xfId="0" applyFont="1" applyProtection="1">
      <protection locked="0"/>
    </xf>
    <xf numFmtId="0" fontId="3" fillId="3" borderId="0" xfId="0" applyFont="1" applyFill="1" applyAlignment="1">
      <alignment wrapText="1"/>
    </xf>
    <xf numFmtId="0" fontId="9" fillId="3" borderId="7" xfId="4" applyFont="1" applyFill="1" applyBorder="1" applyAlignment="1">
      <alignment vertical="center" wrapText="1"/>
    </xf>
    <xf numFmtId="0" fontId="3" fillId="3" borderId="7" xfId="4" applyFont="1" applyFill="1" applyBorder="1" applyAlignment="1">
      <alignment vertical="center" wrapText="1"/>
    </xf>
    <xf numFmtId="0" fontId="3" fillId="0" borderId="7" xfId="0" applyFont="1" applyBorder="1" applyAlignment="1">
      <alignment vertical="center" wrapText="1"/>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6" borderId="1" xfId="0" applyFill="1" applyBorder="1" applyAlignment="1">
      <alignment horizontal="center" vertical="center" wrapText="1"/>
    </xf>
    <xf numFmtId="0" fontId="9" fillId="0" borderId="20" xfId="0" applyFont="1" applyBorder="1" applyAlignment="1">
      <alignment horizontal="left" vertical="center" wrapText="1"/>
    </xf>
    <xf numFmtId="0" fontId="9" fillId="0" borderId="10" xfId="0" applyFont="1" applyBorder="1" applyAlignment="1">
      <alignment horizontal="left" vertical="center" wrapText="1"/>
    </xf>
    <xf numFmtId="0" fontId="9" fillId="0" borderId="11" xfId="0" applyFont="1" applyBorder="1" applyAlignment="1">
      <alignment horizontal="left" vertical="center" wrapText="1"/>
    </xf>
    <xf numFmtId="0" fontId="3" fillId="0" borderId="2" xfId="0" applyFont="1" applyBorder="1" applyAlignment="1">
      <alignment vertical="center" wrapText="1"/>
    </xf>
    <xf numFmtId="0" fontId="3" fillId="0" borderId="1" xfId="0" applyFont="1" applyBorder="1" applyAlignment="1">
      <alignment vertical="center" wrapText="1"/>
    </xf>
    <xf numFmtId="15" fontId="3" fillId="0" borderId="7" xfId="0" applyNumberFormat="1" applyFont="1" applyBorder="1" applyAlignment="1">
      <alignment horizontal="left" vertical="center" wrapText="1"/>
    </xf>
    <xf numFmtId="15" fontId="3" fillId="0" borderId="22" xfId="0" applyNumberFormat="1"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9" fillId="0" borderId="2" xfId="0" applyFont="1" applyBorder="1" applyAlignment="1">
      <alignment horizontal="justify" vertical="center" wrapText="1"/>
    </xf>
    <xf numFmtId="0" fontId="9" fillId="0" borderId="1" xfId="0" applyFont="1" applyBorder="1" applyAlignment="1">
      <alignment horizontal="justify" vertical="center" wrapText="1"/>
    </xf>
    <xf numFmtId="0" fontId="9" fillId="0" borderId="3" xfId="0" applyFont="1" applyBorder="1" applyAlignment="1">
      <alignment horizontal="justify" vertical="center" wrapText="1"/>
    </xf>
    <xf numFmtId="0" fontId="3" fillId="2" borderId="21"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0" borderId="7" xfId="0" applyFont="1" applyBorder="1" applyAlignment="1">
      <alignment horizontal="left" vertical="center" wrapText="1"/>
    </xf>
    <xf numFmtId="0" fontId="3" fillId="0" borderId="22" xfId="0" applyFont="1" applyBorder="1" applyAlignment="1">
      <alignment horizontal="left" vertical="center" wrapText="1"/>
    </xf>
    <xf numFmtId="0" fontId="9" fillId="0" borderId="20" xfId="0" applyFont="1" applyBorder="1" applyAlignment="1">
      <alignment horizontal="justify" vertical="center" wrapText="1"/>
    </xf>
    <xf numFmtId="0" fontId="9" fillId="0" borderId="10" xfId="0" applyFont="1" applyBorder="1" applyAlignment="1">
      <alignment horizontal="justify" vertical="center" wrapText="1"/>
    </xf>
    <xf numFmtId="0" fontId="9" fillId="0" borderId="11" xfId="0" applyFont="1" applyBorder="1" applyAlignment="1">
      <alignment horizontal="justify" vertical="center" wrapText="1"/>
    </xf>
    <xf numFmtId="0" fontId="9" fillId="0" borderId="23" xfId="0" applyFont="1" applyBorder="1" applyAlignment="1">
      <alignment horizontal="justify" vertical="center" wrapText="1"/>
    </xf>
    <xf numFmtId="0" fontId="9" fillId="0" borderId="24" xfId="0" applyFont="1" applyBorder="1" applyAlignment="1">
      <alignment horizontal="justify" vertical="center" wrapText="1"/>
    </xf>
    <xf numFmtId="0" fontId="9" fillId="0" borderId="25" xfId="0" applyFont="1" applyBorder="1" applyAlignment="1">
      <alignment horizontal="justify" vertical="center" wrapText="1"/>
    </xf>
    <xf numFmtId="0" fontId="3" fillId="0" borderId="3" xfId="0" applyFont="1" applyBorder="1" applyAlignment="1">
      <alignment horizontal="left" vertical="center" wrapText="1"/>
    </xf>
    <xf numFmtId="0" fontId="9" fillId="0" borderId="2" xfId="4" applyFont="1" applyFill="1" applyBorder="1" applyAlignment="1">
      <alignment horizontal="left" vertical="center"/>
    </xf>
    <xf numFmtId="0" fontId="9" fillId="0" borderId="1" xfId="4" applyFont="1" applyFill="1" applyBorder="1" applyAlignment="1">
      <alignment horizontal="left" vertical="center"/>
    </xf>
    <xf numFmtId="0" fontId="9" fillId="0" borderId="20" xfId="4" applyFont="1" applyFill="1" applyBorder="1" applyAlignment="1">
      <alignment horizontal="left" vertical="center"/>
    </xf>
    <xf numFmtId="0" fontId="9" fillId="0" borderId="10" xfId="4" applyFont="1" applyFill="1" applyBorder="1" applyAlignment="1">
      <alignment horizontal="left" vertical="center"/>
    </xf>
    <xf numFmtId="0" fontId="9" fillId="2" borderId="14" xfId="0" applyFont="1" applyFill="1" applyBorder="1" applyAlignment="1">
      <alignment horizontal="justify" vertical="center" wrapText="1"/>
    </xf>
    <xf numFmtId="0" fontId="9" fillId="2" borderId="15" xfId="0" applyFont="1" applyFill="1" applyBorder="1" applyAlignment="1">
      <alignment horizontal="justify" vertical="center" wrapText="1"/>
    </xf>
    <xf numFmtId="0" fontId="9" fillId="2" borderId="16" xfId="0" applyFont="1" applyFill="1" applyBorder="1" applyAlignment="1">
      <alignment horizontal="justify" vertical="center" wrapText="1"/>
    </xf>
    <xf numFmtId="0" fontId="3" fillId="2" borderId="14" xfId="0" applyFont="1" applyFill="1" applyBorder="1" applyAlignment="1">
      <alignment vertical="center" wrapText="1"/>
    </xf>
    <xf numFmtId="0" fontId="3" fillId="2" borderId="15" xfId="0" applyFont="1" applyFill="1" applyBorder="1" applyAlignment="1">
      <alignment vertical="center" wrapText="1"/>
    </xf>
    <xf numFmtId="0" fontId="3" fillId="2" borderId="16" xfId="0" applyFont="1" applyFill="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3" fillId="2" borderId="14" xfId="0" applyFont="1" applyFill="1" applyBorder="1" applyAlignment="1">
      <alignment horizontal="justify" vertical="center" wrapText="1"/>
    </xf>
    <xf numFmtId="0" fontId="3" fillId="2" borderId="15" xfId="0" applyFont="1" applyFill="1" applyBorder="1" applyAlignment="1">
      <alignment horizontal="justify" vertical="center" wrapText="1"/>
    </xf>
    <xf numFmtId="0" fontId="3" fillId="2" borderId="16" xfId="0" applyFont="1" applyFill="1" applyBorder="1" applyAlignment="1">
      <alignment horizontal="justify" vertical="center" wrapText="1"/>
    </xf>
    <xf numFmtId="0" fontId="6" fillId="2" borderId="14" xfId="0" applyFont="1" applyFill="1" applyBorder="1" applyAlignment="1">
      <alignment horizontal="center" vertical="center" wrapText="1"/>
    </xf>
    <xf numFmtId="0" fontId="6" fillId="2" borderId="15" xfId="0" applyFont="1" applyFill="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3" fillId="0" borderId="9" xfId="0" applyFont="1" applyBorder="1" applyAlignment="1">
      <alignment horizontal="left" vertical="center" wrapText="1"/>
    </xf>
    <xf numFmtId="0" fontId="3" fillId="0" borderId="8" xfId="0" applyFont="1" applyBorder="1" applyAlignment="1">
      <alignment horizontal="left" vertical="center" wrapText="1"/>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cellXfs>
  <cellStyles count="5">
    <cellStyle name="Bueno" xfId="4" builtinId="26"/>
    <cellStyle name="Excel Built-in Normal" xfId="1" xr:uid="{00000000-0005-0000-0000-000001000000}"/>
    <cellStyle name="Excel Built-in Normal 1" xfId="3" xr:uid="{00000000-0005-0000-0000-000002000000}"/>
    <cellStyle name="Normal" xfId="0" builtinId="0"/>
    <cellStyle name="Normal 2 2" xfId="2" xr:uid="{00000000-0005-0000-0000-000004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H100"/>
  <sheetViews>
    <sheetView showGridLines="0" zoomScale="70" zoomScaleNormal="70" workbookViewId="0">
      <pane ySplit="1" topLeftCell="A2" activePane="bottomLeft" state="frozen"/>
      <selection pane="bottomLeft" activeCell="L17" sqref="L17"/>
    </sheetView>
  </sheetViews>
  <sheetFormatPr defaultColWidth="8.7109375" defaultRowHeight="15.6"/>
  <cols>
    <col min="1" max="1" width="30.42578125" style="37" customWidth="1"/>
    <col min="2" max="2" width="19.28515625" style="37" customWidth="1"/>
    <col min="3" max="3" width="19.5703125" style="37" customWidth="1"/>
    <col min="4" max="4" width="18" style="37" customWidth="1"/>
    <col min="5" max="5" width="19.28515625" style="37" customWidth="1"/>
    <col min="6" max="6" width="17.28515625" style="37" customWidth="1"/>
    <col min="7" max="7" width="16.28515625" style="37" customWidth="1"/>
    <col min="8" max="8" width="14.42578125" style="37" customWidth="1"/>
    <col min="9" max="16384" width="8.7109375" style="28"/>
  </cols>
  <sheetData>
    <row r="1" spans="1:8" s="38" customFormat="1" ht="48.75" customHeight="1">
      <c r="A1" s="19" t="s">
        <v>0</v>
      </c>
      <c r="B1" s="19" t="s">
        <v>1</v>
      </c>
      <c r="C1" s="19" t="s">
        <v>2</v>
      </c>
      <c r="D1" s="19" t="s">
        <v>3</v>
      </c>
      <c r="E1" s="19" t="s">
        <v>4</v>
      </c>
      <c r="F1" s="19" t="s">
        <v>5</v>
      </c>
      <c r="G1" s="19" t="s">
        <v>6</v>
      </c>
      <c r="H1" s="19" t="s">
        <v>7</v>
      </c>
    </row>
    <row r="2" spans="1:8" ht="15" customHeight="1">
      <c r="A2" s="32">
        <v>45747</v>
      </c>
      <c r="B2" s="33" t="s">
        <v>8</v>
      </c>
      <c r="C2" s="34" t="s">
        <v>9</v>
      </c>
      <c r="D2" s="35" t="str">
        <f>IFERROR(VLOOKUP(B2,Listado!$A$1048569:$B$1048576,2,),"")</f>
        <v>m3</v>
      </c>
      <c r="E2" s="36">
        <v>2011.5</v>
      </c>
      <c r="F2" s="36">
        <v>2854.2</v>
      </c>
      <c r="G2" s="36">
        <v>2854.2</v>
      </c>
      <c r="H2" s="36">
        <v>2854.2</v>
      </c>
    </row>
    <row r="3" spans="1:8">
      <c r="A3" s="32">
        <v>45747</v>
      </c>
      <c r="B3" s="33" t="s">
        <v>10</v>
      </c>
      <c r="C3" s="34" t="s">
        <v>9</v>
      </c>
      <c r="D3" s="35" t="str">
        <f>IFERROR(VLOOKUP(B3,Listado!$A$1048569:$B$1048576,2,),"")</f>
        <v>m3</v>
      </c>
      <c r="E3" s="36">
        <v>4693.5</v>
      </c>
      <c r="F3" s="36">
        <v>6659.8</v>
      </c>
      <c r="G3" s="36">
        <v>6659.8</v>
      </c>
      <c r="H3" s="36">
        <v>6659.8</v>
      </c>
    </row>
    <row r="4" spans="1:8">
      <c r="A4" s="32"/>
      <c r="B4" s="33"/>
      <c r="C4" s="34"/>
      <c r="D4" s="35" t="str">
        <f>IFERROR(VLOOKUP(B4,Listado!$A$1048569:$B$1048576,2,),"")</f>
        <v/>
      </c>
      <c r="E4" s="36"/>
      <c r="F4" s="36"/>
      <c r="G4" s="36"/>
      <c r="H4" s="36"/>
    </row>
    <row r="5" spans="1:8">
      <c r="A5" s="32"/>
      <c r="B5" s="33"/>
      <c r="C5" s="34"/>
      <c r="D5" s="35" t="str">
        <f>IFERROR(VLOOKUP(B5,Listado!$A$1048569:$B$1048576,2,),"")</f>
        <v/>
      </c>
      <c r="E5" s="36"/>
      <c r="F5" s="36"/>
      <c r="G5" s="36"/>
      <c r="H5" s="36"/>
    </row>
    <row r="6" spans="1:8">
      <c r="A6" s="32"/>
      <c r="B6" s="33"/>
      <c r="C6" s="34"/>
      <c r="D6" s="35" t="str">
        <f>IFERROR(VLOOKUP(B6,Listado!$A$1048569:$B$1048576,2,),"")</f>
        <v/>
      </c>
      <c r="E6" s="36"/>
      <c r="F6" s="36"/>
      <c r="G6" s="36"/>
      <c r="H6" s="36"/>
    </row>
    <row r="7" spans="1:8">
      <c r="A7" s="32"/>
      <c r="B7" s="33"/>
      <c r="C7" s="34"/>
      <c r="D7" s="35" t="str">
        <f>IFERROR(VLOOKUP(B7,Listado!$A$1048569:$B$1048576,2,),"")</f>
        <v/>
      </c>
      <c r="E7" s="36"/>
      <c r="F7" s="36"/>
      <c r="G7" s="36"/>
      <c r="H7" s="36"/>
    </row>
    <row r="8" spans="1:8">
      <c r="A8" s="32"/>
      <c r="B8" s="33"/>
      <c r="C8" s="34"/>
      <c r="D8" s="35" t="str">
        <f>IFERROR(VLOOKUP(B8,Listado!$A$1048569:$B$1048576,2,),"")</f>
        <v/>
      </c>
      <c r="E8" s="36"/>
      <c r="F8" s="36"/>
      <c r="G8" s="36"/>
      <c r="H8" s="36"/>
    </row>
    <row r="9" spans="1:8">
      <c r="A9" s="32"/>
      <c r="B9" s="33"/>
      <c r="C9" s="34"/>
      <c r="D9" s="35" t="str">
        <f>IFERROR(VLOOKUP(B9,Listado!$A$1048569:$B$1048576,2,),"")</f>
        <v/>
      </c>
      <c r="E9" s="36"/>
      <c r="F9" s="36"/>
      <c r="G9" s="36"/>
      <c r="H9" s="36"/>
    </row>
    <row r="10" spans="1:8">
      <c r="A10" s="32"/>
      <c r="B10" s="33"/>
      <c r="C10" s="34"/>
      <c r="D10" s="35" t="str">
        <f>IFERROR(VLOOKUP(B10,Listado!$A$1048569:$B$1048576,2,),"")</f>
        <v/>
      </c>
      <c r="E10" s="36"/>
      <c r="F10" s="36"/>
      <c r="G10" s="36"/>
      <c r="H10" s="36"/>
    </row>
    <row r="11" spans="1:8">
      <c r="A11" s="32"/>
      <c r="B11" s="33"/>
      <c r="C11" s="34"/>
      <c r="D11" s="35" t="str">
        <f>IFERROR(VLOOKUP(B11,Listado!$A$1048569:$B$1048576,2,),"")</f>
        <v/>
      </c>
      <c r="E11" s="36"/>
      <c r="F11" s="36"/>
      <c r="G11" s="36"/>
      <c r="H11" s="36"/>
    </row>
    <row r="12" spans="1:8">
      <c r="A12" s="32"/>
      <c r="B12" s="33"/>
      <c r="C12" s="34"/>
      <c r="D12" s="35" t="str">
        <f>IFERROR(VLOOKUP(B12,Listado!$A$1048569:$B$1048576,2,),"")</f>
        <v/>
      </c>
      <c r="E12" s="36"/>
      <c r="F12" s="36"/>
      <c r="G12" s="36"/>
      <c r="H12" s="36"/>
    </row>
    <row r="13" spans="1:8">
      <c r="A13" s="32"/>
      <c r="B13" s="33"/>
      <c r="C13" s="34"/>
      <c r="D13" s="35" t="str">
        <f>IFERROR(VLOOKUP(B13,Listado!$A$1048569:$B$1048576,2,),"")</f>
        <v/>
      </c>
      <c r="E13" s="36"/>
      <c r="F13" s="36"/>
      <c r="G13" s="36"/>
      <c r="H13" s="36"/>
    </row>
    <row r="14" spans="1:8">
      <c r="A14" s="32"/>
      <c r="B14" s="33"/>
      <c r="C14" s="34"/>
      <c r="D14" s="35" t="str">
        <f>IFERROR(VLOOKUP(B14,Listado!$A$1048569:$B$1048576,2,),"")</f>
        <v/>
      </c>
      <c r="E14" s="36"/>
      <c r="F14" s="36"/>
      <c r="G14" s="36"/>
      <c r="H14" s="36"/>
    </row>
    <row r="15" spans="1:8">
      <c r="A15" s="32"/>
      <c r="B15" s="33"/>
      <c r="C15" s="34"/>
      <c r="D15" s="35" t="str">
        <f>IFERROR(VLOOKUP(B15,Listado!$A$1048569:$B$1048576,2,),"")</f>
        <v/>
      </c>
      <c r="E15" s="36"/>
      <c r="F15" s="36"/>
      <c r="G15" s="36"/>
      <c r="H15" s="36"/>
    </row>
    <row r="16" spans="1:8">
      <c r="A16" s="32"/>
      <c r="B16" s="33"/>
      <c r="C16" s="34"/>
      <c r="D16" s="35" t="str">
        <f>IFERROR(VLOOKUP(B16,Listado!$A$1048569:$B$1048576,2,),"")</f>
        <v/>
      </c>
      <c r="E16" s="36"/>
      <c r="F16" s="36"/>
      <c r="G16" s="36"/>
      <c r="H16" s="36"/>
    </row>
    <row r="17" spans="1:8">
      <c r="A17" s="32"/>
      <c r="B17" s="33"/>
      <c r="C17" s="34"/>
      <c r="D17" s="35" t="str">
        <f>IFERROR(VLOOKUP(B17,Listado!$A$1048569:$B$1048576,2,),"")</f>
        <v/>
      </c>
      <c r="E17" s="36"/>
      <c r="F17" s="36"/>
      <c r="G17" s="36"/>
      <c r="H17" s="36"/>
    </row>
    <row r="18" spans="1:8">
      <c r="A18" s="32"/>
      <c r="B18" s="33"/>
      <c r="C18" s="34"/>
      <c r="D18" s="35" t="str">
        <f>IFERROR(VLOOKUP(B18,Listado!$A$1048569:$B$1048576,2,),"")</f>
        <v/>
      </c>
      <c r="E18" s="36"/>
      <c r="F18" s="36"/>
      <c r="G18" s="36"/>
      <c r="H18" s="36"/>
    </row>
    <row r="19" spans="1:8">
      <c r="A19" s="32"/>
      <c r="B19" s="33"/>
      <c r="C19" s="34"/>
      <c r="D19" s="35" t="str">
        <f>IFERROR(VLOOKUP(B19,Listado!$A$1048569:$B$1048576,2,),"")</f>
        <v/>
      </c>
      <c r="E19" s="36"/>
      <c r="F19" s="36"/>
      <c r="G19" s="36"/>
      <c r="H19" s="36"/>
    </row>
    <row r="20" spans="1:8">
      <c r="A20" s="32"/>
      <c r="B20" s="33"/>
      <c r="C20" s="34"/>
      <c r="D20" s="35" t="str">
        <f>IFERROR(VLOOKUP(B20,Listado!$A$1048569:$B$1048576,2,),"")</f>
        <v/>
      </c>
      <c r="E20" s="36"/>
      <c r="F20" s="36"/>
      <c r="G20" s="36"/>
      <c r="H20" s="36"/>
    </row>
    <row r="21" spans="1:8">
      <c r="A21" s="32"/>
      <c r="B21" s="33"/>
      <c r="C21" s="34"/>
      <c r="D21" s="35" t="str">
        <f>IFERROR(VLOOKUP(B21,Listado!$A$1048569:$B$1048576,2,),"")</f>
        <v/>
      </c>
      <c r="E21" s="36"/>
      <c r="F21" s="36"/>
      <c r="G21" s="36"/>
      <c r="H21" s="36"/>
    </row>
    <row r="22" spans="1:8">
      <c r="A22" s="32"/>
      <c r="B22" s="33"/>
      <c r="C22" s="34"/>
      <c r="D22" s="35" t="str">
        <f>IFERROR(VLOOKUP(B22,Listado!$A$1048569:$B$1048576,2,),"")</f>
        <v/>
      </c>
      <c r="E22" s="36"/>
      <c r="F22" s="36"/>
      <c r="G22" s="36"/>
      <c r="H22" s="36"/>
    </row>
    <row r="23" spans="1:8">
      <c r="A23" s="32"/>
      <c r="B23" s="33"/>
      <c r="C23" s="34"/>
      <c r="D23" s="35" t="str">
        <f>IFERROR(VLOOKUP(B23,Listado!$A$1048569:$B$1048576,2,),"")</f>
        <v/>
      </c>
      <c r="E23" s="36"/>
      <c r="F23" s="36"/>
      <c r="G23" s="36"/>
      <c r="H23" s="36"/>
    </row>
    <row r="24" spans="1:8">
      <c r="A24" s="32"/>
      <c r="B24" s="33"/>
      <c r="C24" s="34"/>
      <c r="D24" s="35" t="str">
        <f>IFERROR(VLOOKUP(B24,Listado!$A$1048569:$B$1048576,2,),"")</f>
        <v/>
      </c>
      <c r="E24" s="36"/>
      <c r="F24" s="36"/>
      <c r="G24" s="36"/>
      <c r="H24" s="36"/>
    </row>
    <row r="25" spans="1:8">
      <c r="A25" s="32"/>
      <c r="B25" s="33"/>
      <c r="C25" s="34"/>
      <c r="D25" s="35" t="str">
        <f>IFERROR(VLOOKUP(B25,Listado!$A$1048569:$B$1048576,2,),"")</f>
        <v/>
      </c>
      <c r="E25" s="36"/>
      <c r="F25" s="36"/>
      <c r="G25" s="36"/>
      <c r="H25" s="36"/>
    </row>
    <row r="26" spans="1:8">
      <c r="A26" s="32"/>
      <c r="B26" s="33"/>
      <c r="C26" s="34"/>
      <c r="D26" s="35" t="str">
        <f>IFERROR(VLOOKUP(B26,Listado!$A$1048569:$B$1048576,2,),"")</f>
        <v/>
      </c>
      <c r="E26" s="36"/>
      <c r="F26" s="36"/>
      <c r="G26" s="36"/>
      <c r="H26" s="36"/>
    </row>
    <row r="27" spans="1:8">
      <c r="A27" s="32"/>
      <c r="B27" s="33"/>
      <c r="C27" s="34"/>
      <c r="D27" s="35" t="str">
        <f>IFERROR(VLOOKUP(B27,Listado!$A$1048569:$B$1048576,2,),"")</f>
        <v/>
      </c>
      <c r="E27" s="36"/>
      <c r="F27" s="36"/>
      <c r="G27" s="36"/>
      <c r="H27" s="36"/>
    </row>
    <row r="28" spans="1:8">
      <c r="A28" s="32"/>
      <c r="B28" s="33"/>
      <c r="C28" s="34"/>
      <c r="D28" s="35" t="str">
        <f>IFERROR(VLOOKUP(B28,Listado!$A$1048569:$B$1048576,2,),"")</f>
        <v/>
      </c>
      <c r="E28" s="36"/>
      <c r="F28" s="36"/>
      <c r="G28" s="36"/>
      <c r="H28" s="36"/>
    </row>
    <row r="29" spans="1:8">
      <c r="A29" s="32"/>
      <c r="B29" s="33"/>
      <c r="C29" s="34"/>
      <c r="D29" s="35" t="str">
        <f>IFERROR(VLOOKUP(B29,Listado!$A$1048569:$B$1048576,2,),"")</f>
        <v/>
      </c>
      <c r="E29" s="36"/>
      <c r="F29" s="36"/>
      <c r="G29" s="36"/>
      <c r="H29" s="36"/>
    </row>
    <row r="30" spans="1:8">
      <c r="A30" s="32"/>
      <c r="B30" s="33"/>
      <c r="C30" s="34"/>
      <c r="D30" s="35" t="str">
        <f>IFERROR(VLOOKUP(B30,Listado!$A$1048569:$B$1048576,2,),"")</f>
        <v/>
      </c>
      <c r="E30" s="36"/>
      <c r="F30" s="36"/>
      <c r="G30" s="36"/>
      <c r="H30" s="36"/>
    </row>
    <row r="31" spans="1:8">
      <c r="A31" s="32"/>
      <c r="B31" s="33"/>
      <c r="C31" s="34"/>
      <c r="D31" s="35" t="str">
        <f>IFERROR(VLOOKUP(B31,Listado!$A$1048569:$B$1048576,2,),"")</f>
        <v/>
      </c>
      <c r="E31" s="36"/>
      <c r="F31" s="36"/>
      <c r="G31" s="36"/>
      <c r="H31" s="36"/>
    </row>
    <row r="32" spans="1:8">
      <c r="A32" s="32"/>
      <c r="B32" s="33"/>
      <c r="C32" s="34"/>
      <c r="D32" s="35" t="str">
        <f>IFERROR(VLOOKUP(B32,Listado!$A$1048569:$B$1048576,2,),"")</f>
        <v/>
      </c>
      <c r="E32" s="36"/>
      <c r="F32" s="36"/>
      <c r="G32" s="36"/>
      <c r="H32" s="36"/>
    </row>
    <row r="33" spans="1:8">
      <c r="A33" s="32"/>
      <c r="B33" s="33"/>
      <c r="C33" s="34"/>
      <c r="D33" s="35" t="str">
        <f>IFERROR(VLOOKUP(B33,Listado!$A$1048569:$B$1048576,2,),"")</f>
        <v/>
      </c>
      <c r="E33" s="36"/>
      <c r="F33" s="36"/>
      <c r="G33" s="36"/>
      <c r="H33" s="36"/>
    </row>
    <row r="34" spans="1:8">
      <c r="A34" s="32"/>
      <c r="B34" s="33"/>
      <c r="C34" s="34"/>
      <c r="D34" s="35" t="str">
        <f>IFERROR(VLOOKUP(B34,Listado!$A$1048569:$B$1048576,2,),"")</f>
        <v/>
      </c>
      <c r="E34" s="36"/>
      <c r="F34" s="36"/>
      <c r="G34" s="36"/>
      <c r="H34" s="36"/>
    </row>
    <row r="35" spans="1:8">
      <c r="A35" s="32"/>
      <c r="B35" s="33"/>
      <c r="C35" s="34"/>
      <c r="D35" s="35" t="str">
        <f>IFERROR(VLOOKUP(B35,Listado!$A$1048569:$B$1048576,2,),"")</f>
        <v/>
      </c>
      <c r="E35" s="36"/>
      <c r="F35" s="36"/>
      <c r="G35" s="36"/>
      <c r="H35" s="36"/>
    </row>
    <row r="36" spans="1:8">
      <c r="A36" s="32"/>
      <c r="B36" s="33"/>
      <c r="C36" s="34"/>
      <c r="D36" s="35" t="str">
        <f>IFERROR(VLOOKUP(B36,Listado!$A$1048569:$B$1048576,2,),"")</f>
        <v/>
      </c>
      <c r="E36" s="36"/>
      <c r="F36" s="36"/>
      <c r="G36" s="36"/>
      <c r="H36" s="36"/>
    </row>
    <row r="37" spans="1:8">
      <c r="A37" s="32"/>
      <c r="B37" s="33"/>
      <c r="C37" s="34"/>
      <c r="D37" s="35" t="str">
        <f>IFERROR(VLOOKUP(B37,Listado!$A$1048569:$B$1048576,2,),"")</f>
        <v/>
      </c>
      <c r="E37" s="36"/>
      <c r="F37" s="36"/>
      <c r="G37" s="36"/>
      <c r="H37" s="36"/>
    </row>
    <row r="38" spans="1:8">
      <c r="A38" s="32"/>
      <c r="B38" s="33"/>
      <c r="C38" s="34"/>
      <c r="D38" s="35" t="str">
        <f>IFERROR(VLOOKUP(B38,Listado!$A$1048569:$B$1048576,2,),"")</f>
        <v/>
      </c>
      <c r="E38" s="36"/>
      <c r="F38" s="36"/>
      <c r="G38" s="36"/>
      <c r="H38" s="36"/>
    </row>
    <row r="39" spans="1:8">
      <c r="A39" s="32"/>
      <c r="B39" s="33"/>
      <c r="C39" s="34"/>
      <c r="D39" s="35" t="str">
        <f>IFERROR(VLOOKUP(B39,Listado!$A$1048569:$B$1048576,2,),"")</f>
        <v/>
      </c>
      <c r="E39" s="36"/>
      <c r="F39" s="36"/>
      <c r="G39" s="36"/>
      <c r="H39" s="36"/>
    </row>
    <row r="40" spans="1:8">
      <c r="A40" s="32"/>
      <c r="B40" s="33"/>
      <c r="C40" s="34"/>
      <c r="D40" s="35" t="str">
        <f>IFERROR(VLOOKUP(B40,Listado!$A$1048569:$B$1048576,2,),"")</f>
        <v/>
      </c>
      <c r="E40" s="36"/>
      <c r="F40" s="36"/>
      <c r="G40" s="36"/>
      <c r="H40" s="36"/>
    </row>
    <row r="41" spans="1:8">
      <c r="A41" s="32"/>
      <c r="B41" s="33"/>
      <c r="C41" s="34"/>
      <c r="D41" s="35" t="str">
        <f>IFERROR(VLOOKUP(B41,Listado!$A$1048569:$B$1048576,2,),"")</f>
        <v/>
      </c>
      <c r="E41" s="36"/>
      <c r="F41" s="36"/>
      <c r="G41" s="36"/>
      <c r="H41" s="36"/>
    </row>
    <row r="42" spans="1:8">
      <c r="A42" s="32"/>
      <c r="B42" s="33"/>
      <c r="C42" s="34"/>
      <c r="D42" s="35" t="str">
        <f>IFERROR(VLOOKUP(B42,Listado!$A$1048569:$B$1048576,2,),"")</f>
        <v/>
      </c>
      <c r="E42" s="36"/>
      <c r="F42" s="36"/>
      <c r="G42" s="36"/>
      <c r="H42" s="36"/>
    </row>
    <row r="43" spans="1:8">
      <c r="A43" s="32"/>
      <c r="B43" s="33"/>
      <c r="C43" s="34"/>
      <c r="D43" s="35" t="str">
        <f>IFERROR(VLOOKUP(B43,Listado!$A$1048569:$B$1048576,2,),"")</f>
        <v/>
      </c>
      <c r="E43" s="36"/>
      <c r="F43" s="36"/>
      <c r="G43" s="36"/>
      <c r="H43" s="36"/>
    </row>
    <row r="44" spans="1:8">
      <c r="A44" s="32"/>
      <c r="B44" s="33"/>
      <c r="C44" s="34"/>
      <c r="D44" s="35" t="str">
        <f>IFERROR(VLOOKUP(B44,Listado!$A$1048569:$B$1048576,2,),"")</f>
        <v/>
      </c>
      <c r="E44" s="36"/>
      <c r="F44" s="36"/>
      <c r="G44" s="36"/>
      <c r="H44" s="36"/>
    </row>
    <row r="45" spans="1:8">
      <c r="A45" s="32"/>
      <c r="B45" s="33"/>
      <c r="C45" s="34"/>
      <c r="D45" s="35" t="str">
        <f>IFERROR(VLOOKUP(B45,Listado!$A$1048569:$B$1048576,2,),"")</f>
        <v/>
      </c>
      <c r="E45" s="36"/>
      <c r="F45" s="36"/>
      <c r="G45" s="36"/>
      <c r="H45" s="36"/>
    </row>
    <row r="46" spans="1:8">
      <c r="A46" s="32"/>
      <c r="B46" s="33"/>
      <c r="C46" s="34"/>
      <c r="D46" s="35" t="str">
        <f>IFERROR(VLOOKUP(B46,Listado!$A$1048569:$B$1048576,2,),"")</f>
        <v/>
      </c>
      <c r="E46" s="36"/>
      <c r="F46" s="36"/>
      <c r="G46" s="36"/>
      <c r="H46" s="36"/>
    </row>
    <row r="47" spans="1:8">
      <c r="A47" s="32"/>
      <c r="B47" s="33"/>
      <c r="C47" s="34"/>
      <c r="D47" s="35" t="str">
        <f>IFERROR(VLOOKUP(B47,Listado!$A$1048569:$B$1048576,2,),"")</f>
        <v/>
      </c>
      <c r="E47" s="36"/>
      <c r="F47" s="36"/>
      <c r="G47" s="36"/>
      <c r="H47" s="36"/>
    </row>
    <row r="48" spans="1:8">
      <c r="A48" s="32"/>
      <c r="B48" s="33"/>
      <c r="C48" s="34"/>
      <c r="D48" s="35" t="str">
        <f>IFERROR(VLOOKUP(B48,Listado!$A$1048569:$B$1048576,2,),"")</f>
        <v/>
      </c>
      <c r="E48" s="36"/>
      <c r="F48" s="36"/>
      <c r="G48" s="36"/>
      <c r="H48" s="36"/>
    </row>
    <row r="49" spans="1:8">
      <c r="A49" s="32"/>
      <c r="B49" s="33"/>
      <c r="C49" s="34"/>
      <c r="D49" s="35" t="str">
        <f>IFERROR(VLOOKUP(B49,Listado!$A$1048569:$B$1048576,2,),"")</f>
        <v/>
      </c>
      <c r="E49" s="36"/>
      <c r="F49" s="36"/>
      <c r="G49" s="36"/>
      <c r="H49" s="36"/>
    </row>
    <row r="50" spans="1:8">
      <c r="A50" s="32"/>
      <c r="B50" s="33"/>
      <c r="C50" s="34"/>
      <c r="D50" s="35" t="str">
        <f>IFERROR(VLOOKUP(B50,Listado!$A$1048569:$B$1048576,2,),"")</f>
        <v/>
      </c>
      <c r="E50" s="36"/>
      <c r="F50" s="36"/>
      <c r="G50" s="36"/>
      <c r="H50" s="36"/>
    </row>
    <row r="51" spans="1:8">
      <c r="A51" s="32"/>
      <c r="B51" s="33"/>
      <c r="C51" s="34"/>
      <c r="D51" s="35" t="str">
        <f>IFERROR(VLOOKUP(B51,Listado!$A$1048569:$B$1048576,2,),"")</f>
        <v/>
      </c>
      <c r="E51" s="36"/>
      <c r="F51" s="36"/>
      <c r="G51" s="36"/>
      <c r="H51" s="36"/>
    </row>
    <row r="52" spans="1:8">
      <c r="A52" s="32"/>
      <c r="B52" s="33"/>
      <c r="C52" s="34"/>
      <c r="D52" s="35" t="str">
        <f>IFERROR(VLOOKUP(B52,Listado!$A$1048569:$B$1048576,2,),"")</f>
        <v/>
      </c>
      <c r="E52" s="36"/>
      <c r="F52" s="36"/>
      <c r="G52" s="36"/>
      <c r="H52" s="36"/>
    </row>
    <row r="53" spans="1:8">
      <c r="A53" s="32"/>
      <c r="B53" s="33"/>
      <c r="C53" s="34"/>
      <c r="D53" s="35" t="str">
        <f>IFERROR(VLOOKUP(B53,Listado!$A$1048569:$B$1048576,2,),"")</f>
        <v/>
      </c>
      <c r="E53" s="36"/>
      <c r="F53" s="36"/>
      <c r="G53" s="36"/>
      <c r="H53" s="36"/>
    </row>
    <row r="54" spans="1:8">
      <c r="A54" s="32"/>
      <c r="B54" s="33"/>
      <c r="C54" s="34"/>
      <c r="D54" s="35" t="str">
        <f>IFERROR(VLOOKUP(B54,Listado!$A$1048569:$B$1048576,2,),"")</f>
        <v/>
      </c>
      <c r="E54" s="36"/>
      <c r="F54" s="36"/>
      <c r="G54" s="36"/>
      <c r="H54" s="36"/>
    </row>
    <row r="55" spans="1:8">
      <c r="A55" s="32"/>
      <c r="B55" s="33"/>
      <c r="C55" s="34"/>
      <c r="D55" s="35" t="str">
        <f>IFERROR(VLOOKUP(B55,Listado!$A$1048569:$B$1048576,2,),"")</f>
        <v/>
      </c>
      <c r="E55" s="36"/>
      <c r="F55" s="36"/>
      <c r="G55" s="36"/>
      <c r="H55" s="36"/>
    </row>
    <row r="56" spans="1:8">
      <c r="A56" s="32"/>
      <c r="B56" s="33"/>
      <c r="C56" s="34"/>
      <c r="D56" s="35" t="str">
        <f>IFERROR(VLOOKUP(B56,Listado!$A$1048569:$B$1048576,2,),"")</f>
        <v/>
      </c>
      <c r="E56" s="36"/>
      <c r="F56" s="36"/>
      <c r="G56" s="36"/>
      <c r="H56" s="36"/>
    </row>
    <row r="57" spans="1:8">
      <c r="A57" s="32"/>
      <c r="B57" s="33"/>
      <c r="C57" s="34"/>
      <c r="D57" s="35" t="str">
        <f>IFERROR(VLOOKUP(B57,Listado!$A$1048569:$B$1048576,2,),"")</f>
        <v/>
      </c>
      <c r="E57" s="36"/>
      <c r="F57" s="36"/>
      <c r="G57" s="36"/>
      <c r="H57" s="36"/>
    </row>
    <row r="58" spans="1:8">
      <c r="A58" s="32"/>
      <c r="B58" s="33"/>
      <c r="C58" s="34"/>
      <c r="D58" s="35" t="str">
        <f>IFERROR(VLOOKUP(B58,Listado!$A$1048569:$B$1048576,2,),"")</f>
        <v/>
      </c>
      <c r="E58" s="36"/>
      <c r="F58" s="36"/>
      <c r="G58" s="36"/>
      <c r="H58" s="36"/>
    </row>
    <row r="59" spans="1:8">
      <c r="A59" s="32"/>
      <c r="B59" s="33"/>
      <c r="C59" s="34"/>
      <c r="D59" s="35" t="str">
        <f>IFERROR(VLOOKUP(B59,Listado!$A$1048569:$B$1048576,2,),"")</f>
        <v/>
      </c>
      <c r="E59" s="36"/>
      <c r="F59" s="36"/>
      <c r="G59" s="36"/>
      <c r="H59" s="36"/>
    </row>
    <row r="60" spans="1:8">
      <c r="A60" s="32"/>
      <c r="B60" s="33"/>
      <c r="C60" s="34"/>
      <c r="D60" s="35" t="str">
        <f>IFERROR(VLOOKUP(B60,Listado!$A$1048569:$B$1048576,2,),"")</f>
        <v/>
      </c>
      <c r="E60" s="36"/>
      <c r="F60" s="36"/>
      <c r="G60" s="36"/>
      <c r="H60" s="36"/>
    </row>
    <row r="61" spans="1:8">
      <c r="A61" s="32"/>
      <c r="B61" s="33"/>
      <c r="C61" s="34"/>
      <c r="D61" s="35" t="str">
        <f>IFERROR(VLOOKUP(B61,Listado!$A$1048569:$B$1048576,2,),"")</f>
        <v/>
      </c>
      <c r="E61" s="36"/>
      <c r="F61" s="36"/>
      <c r="G61" s="36"/>
      <c r="H61" s="36"/>
    </row>
    <row r="62" spans="1:8">
      <c r="A62" s="32"/>
      <c r="B62" s="33"/>
      <c r="C62" s="34"/>
      <c r="D62" s="35" t="str">
        <f>IFERROR(VLOOKUP(B62,Listado!$A$1048569:$B$1048576,2,),"")</f>
        <v/>
      </c>
      <c r="E62" s="36"/>
      <c r="F62" s="36"/>
      <c r="G62" s="36"/>
      <c r="H62" s="36"/>
    </row>
    <row r="63" spans="1:8">
      <c r="A63" s="32"/>
      <c r="B63" s="33"/>
      <c r="C63" s="34"/>
      <c r="D63" s="35" t="str">
        <f>IFERROR(VLOOKUP(B63,Listado!$A$1048569:$B$1048576,2,),"")</f>
        <v/>
      </c>
      <c r="E63" s="36"/>
      <c r="F63" s="36"/>
      <c r="G63" s="36"/>
      <c r="H63" s="36"/>
    </row>
    <row r="64" spans="1:8">
      <c r="A64" s="32"/>
      <c r="B64" s="33"/>
      <c r="C64" s="34"/>
      <c r="D64" s="35" t="str">
        <f>IFERROR(VLOOKUP(B64,Listado!$A$1048569:$B$1048576,2,),"")</f>
        <v/>
      </c>
      <c r="E64" s="36"/>
      <c r="F64" s="36"/>
      <c r="G64" s="36"/>
      <c r="H64" s="36"/>
    </row>
    <row r="65" spans="1:8">
      <c r="A65" s="32"/>
      <c r="B65" s="33"/>
      <c r="C65" s="34"/>
      <c r="D65" s="35" t="str">
        <f>IFERROR(VLOOKUP(B65,Listado!$A$1048569:$B$1048576,2,),"")</f>
        <v/>
      </c>
      <c r="E65" s="36"/>
      <c r="F65" s="36"/>
      <c r="G65" s="36"/>
      <c r="H65" s="36"/>
    </row>
    <row r="66" spans="1:8">
      <c r="A66" s="32"/>
      <c r="B66" s="33"/>
      <c r="C66" s="34"/>
      <c r="D66" s="35" t="str">
        <f>IFERROR(VLOOKUP(B66,Listado!$A$1048569:$B$1048576,2,),"")</f>
        <v/>
      </c>
      <c r="E66" s="36"/>
      <c r="F66" s="36"/>
      <c r="G66" s="36"/>
      <c r="H66" s="36"/>
    </row>
    <row r="67" spans="1:8">
      <c r="A67" s="32"/>
      <c r="B67" s="33"/>
      <c r="C67" s="34"/>
      <c r="D67" s="35" t="str">
        <f>IFERROR(VLOOKUP(B67,Listado!$A$1048569:$B$1048576,2,),"")</f>
        <v/>
      </c>
      <c r="E67" s="36"/>
      <c r="F67" s="36"/>
      <c r="G67" s="36"/>
      <c r="H67" s="36"/>
    </row>
    <row r="68" spans="1:8">
      <c r="A68" s="32"/>
      <c r="B68" s="33"/>
      <c r="C68" s="34"/>
      <c r="D68" s="35" t="str">
        <f>IFERROR(VLOOKUP(B68,Listado!$A$1048569:$B$1048576,2,),"")</f>
        <v/>
      </c>
      <c r="E68" s="36"/>
      <c r="F68" s="36"/>
      <c r="G68" s="36"/>
      <c r="H68" s="36"/>
    </row>
    <row r="69" spans="1:8">
      <c r="A69" s="32"/>
      <c r="B69" s="33"/>
      <c r="C69" s="34"/>
      <c r="D69" s="35" t="str">
        <f>IFERROR(VLOOKUP(B69,Listado!$A$1048569:$B$1048576,2,),"")</f>
        <v/>
      </c>
      <c r="E69" s="36"/>
      <c r="F69" s="36"/>
      <c r="G69" s="36"/>
      <c r="H69" s="36"/>
    </row>
    <row r="70" spans="1:8">
      <c r="A70" s="32"/>
      <c r="B70" s="33"/>
      <c r="C70" s="34"/>
      <c r="D70" s="35" t="str">
        <f>IFERROR(VLOOKUP(B70,Listado!$A$1048569:$B$1048576,2,),"")</f>
        <v/>
      </c>
      <c r="E70" s="36"/>
      <c r="F70" s="36"/>
      <c r="G70" s="36"/>
      <c r="H70" s="36"/>
    </row>
    <row r="71" spans="1:8">
      <c r="A71" s="32"/>
      <c r="B71" s="33"/>
      <c r="C71" s="34"/>
      <c r="D71" s="35" t="str">
        <f>IFERROR(VLOOKUP(B71,Listado!$A$1048569:$B$1048576,2,),"")</f>
        <v/>
      </c>
      <c r="E71" s="36"/>
      <c r="F71" s="36"/>
      <c r="G71" s="36"/>
      <c r="H71" s="36"/>
    </row>
    <row r="72" spans="1:8">
      <c r="A72" s="32"/>
      <c r="B72" s="33"/>
      <c r="C72" s="34"/>
      <c r="D72" s="35" t="str">
        <f>IFERROR(VLOOKUP(B72,Listado!$A$1048569:$B$1048576,2,),"")</f>
        <v/>
      </c>
      <c r="E72" s="36"/>
      <c r="F72" s="36"/>
      <c r="G72" s="36"/>
      <c r="H72" s="36"/>
    </row>
    <row r="73" spans="1:8">
      <c r="A73" s="32"/>
      <c r="B73" s="33"/>
      <c r="C73" s="34"/>
      <c r="D73" s="35" t="str">
        <f>IFERROR(VLOOKUP(B73,Listado!$A$1048569:$B$1048576,2,),"")</f>
        <v/>
      </c>
      <c r="E73" s="36"/>
      <c r="F73" s="36"/>
      <c r="G73" s="36"/>
      <c r="H73" s="36"/>
    </row>
    <row r="74" spans="1:8">
      <c r="A74" s="32"/>
      <c r="B74" s="33"/>
      <c r="C74" s="34"/>
      <c r="D74" s="35" t="str">
        <f>IFERROR(VLOOKUP(B74,Listado!$A$1048569:$B$1048576,2,),"")</f>
        <v/>
      </c>
      <c r="E74" s="36"/>
      <c r="F74" s="36"/>
      <c r="G74" s="36"/>
      <c r="H74" s="36"/>
    </row>
    <row r="75" spans="1:8">
      <c r="A75" s="32"/>
      <c r="B75" s="33"/>
      <c r="C75" s="34"/>
      <c r="D75" s="35" t="str">
        <f>IFERROR(VLOOKUP(B75,Listado!$A$1048569:$B$1048576,2,),"")</f>
        <v/>
      </c>
      <c r="E75" s="36"/>
      <c r="F75" s="36"/>
      <c r="G75" s="36"/>
      <c r="H75" s="36"/>
    </row>
    <row r="76" spans="1:8">
      <c r="A76" s="32"/>
      <c r="B76" s="33"/>
      <c r="C76" s="34"/>
      <c r="D76" s="35" t="str">
        <f>IFERROR(VLOOKUP(B76,Listado!$A$1048569:$B$1048576,2,),"")</f>
        <v/>
      </c>
      <c r="E76" s="36"/>
      <c r="F76" s="36"/>
      <c r="G76" s="36"/>
      <c r="H76" s="36"/>
    </row>
    <row r="77" spans="1:8">
      <c r="A77" s="32"/>
      <c r="B77" s="33"/>
      <c r="C77" s="34"/>
      <c r="D77" s="35" t="str">
        <f>IFERROR(VLOOKUP(B77,Listado!$A$1048569:$B$1048576,2,),"")</f>
        <v/>
      </c>
      <c r="E77" s="36"/>
      <c r="F77" s="36"/>
      <c r="G77" s="36"/>
      <c r="H77" s="36"/>
    </row>
    <row r="78" spans="1:8">
      <c r="A78" s="32"/>
      <c r="B78" s="33"/>
      <c r="C78" s="34"/>
      <c r="D78" s="35" t="str">
        <f>IFERROR(VLOOKUP(B78,Listado!$A$1048569:$B$1048576,2,),"")</f>
        <v/>
      </c>
      <c r="E78" s="36"/>
      <c r="F78" s="36"/>
      <c r="G78" s="36"/>
      <c r="H78" s="36"/>
    </row>
    <row r="79" spans="1:8">
      <c r="A79" s="32"/>
      <c r="B79" s="33"/>
      <c r="C79" s="34"/>
      <c r="D79" s="35" t="str">
        <f>IFERROR(VLOOKUP(B79,Listado!$A$1048569:$B$1048576,2,),"")</f>
        <v/>
      </c>
      <c r="E79" s="36"/>
      <c r="F79" s="36"/>
      <c r="G79" s="36"/>
      <c r="H79" s="36"/>
    </row>
    <row r="80" spans="1:8">
      <c r="A80" s="32"/>
      <c r="B80" s="33"/>
      <c r="C80" s="34"/>
      <c r="D80" s="35" t="str">
        <f>IFERROR(VLOOKUP(B80,Listado!$A$1048569:$B$1048576,2,),"")</f>
        <v/>
      </c>
      <c r="E80" s="36"/>
      <c r="F80" s="36"/>
      <c r="G80" s="36"/>
      <c r="H80" s="36"/>
    </row>
    <row r="81" spans="1:8">
      <c r="A81" s="32"/>
      <c r="B81" s="33"/>
      <c r="C81" s="34"/>
      <c r="D81" s="35" t="str">
        <f>IFERROR(VLOOKUP(B81,Listado!$A$1048569:$B$1048576,2,),"")</f>
        <v/>
      </c>
      <c r="E81" s="36"/>
      <c r="F81" s="36"/>
      <c r="G81" s="36"/>
      <c r="H81" s="36"/>
    </row>
    <row r="82" spans="1:8">
      <c r="A82" s="32"/>
      <c r="B82" s="33"/>
      <c r="C82" s="34"/>
      <c r="D82" s="35" t="str">
        <f>IFERROR(VLOOKUP(B82,Listado!$A$1048569:$B$1048576,2,),"")</f>
        <v/>
      </c>
      <c r="E82" s="36"/>
      <c r="F82" s="36"/>
      <c r="G82" s="36"/>
      <c r="H82" s="36"/>
    </row>
    <row r="83" spans="1:8">
      <c r="A83" s="32"/>
      <c r="B83" s="33"/>
      <c r="C83" s="34"/>
      <c r="D83" s="35" t="str">
        <f>IFERROR(VLOOKUP(B83,Listado!$A$1048569:$B$1048576,2,),"")</f>
        <v/>
      </c>
      <c r="E83" s="36"/>
      <c r="F83" s="36"/>
      <c r="G83" s="36"/>
      <c r="H83" s="36"/>
    </row>
    <row r="84" spans="1:8">
      <c r="A84" s="32"/>
      <c r="B84" s="33"/>
      <c r="C84" s="34"/>
      <c r="D84" s="35" t="str">
        <f>IFERROR(VLOOKUP(B84,Listado!$A$1048569:$B$1048576,2,),"")</f>
        <v/>
      </c>
      <c r="E84" s="36"/>
      <c r="F84" s="36"/>
      <c r="G84" s="36"/>
      <c r="H84" s="36"/>
    </row>
    <row r="85" spans="1:8">
      <c r="A85" s="32"/>
      <c r="B85" s="33"/>
      <c r="C85" s="34"/>
      <c r="D85" s="35" t="str">
        <f>IFERROR(VLOOKUP(B85,Listado!$A$1048569:$B$1048576,2,),"")</f>
        <v/>
      </c>
      <c r="E85" s="36"/>
      <c r="F85" s="36"/>
      <c r="G85" s="36"/>
      <c r="H85" s="36"/>
    </row>
    <row r="86" spans="1:8">
      <c r="A86" s="32"/>
      <c r="B86" s="33"/>
      <c r="C86" s="34"/>
      <c r="D86" s="35" t="str">
        <f>IFERROR(VLOOKUP(B86,Listado!$A$1048569:$B$1048576,2,),"")</f>
        <v/>
      </c>
      <c r="E86" s="36"/>
      <c r="F86" s="36"/>
      <c r="G86" s="36"/>
      <c r="H86" s="36"/>
    </row>
    <row r="87" spans="1:8">
      <c r="A87" s="32"/>
      <c r="B87" s="33"/>
      <c r="C87" s="34"/>
      <c r="D87" s="35" t="str">
        <f>IFERROR(VLOOKUP(B87,Listado!$A$1048569:$B$1048576,2,),"")</f>
        <v/>
      </c>
      <c r="E87" s="36"/>
      <c r="F87" s="36"/>
      <c r="G87" s="36"/>
      <c r="H87" s="36"/>
    </row>
    <row r="88" spans="1:8">
      <c r="A88" s="32"/>
      <c r="B88" s="33"/>
      <c r="C88" s="34"/>
      <c r="D88" s="35" t="str">
        <f>IFERROR(VLOOKUP(B88,Listado!$A$1048569:$B$1048576,2,),"")</f>
        <v/>
      </c>
      <c r="E88" s="36"/>
      <c r="F88" s="36"/>
      <c r="G88" s="36"/>
      <c r="H88" s="36"/>
    </row>
    <row r="89" spans="1:8">
      <c r="A89" s="32"/>
      <c r="B89" s="33"/>
      <c r="C89" s="34"/>
      <c r="D89" s="35" t="str">
        <f>IFERROR(VLOOKUP(B89,Listado!$A$1048569:$B$1048576,2,),"")</f>
        <v/>
      </c>
      <c r="E89" s="36"/>
      <c r="F89" s="36"/>
      <c r="G89" s="36"/>
      <c r="H89" s="36"/>
    </row>
    <row r="90" spans="1:8">
      <c r="A90" s="32"/>
      <c r="B90" s="33"/>
      <c r="C90" s="34"/>
      <c r="D90" s="35" t="str">
        <f>IFERROR(VLOOKUP(B90,Listado!$A$1048569:$B$1048576,2,),"")</f>
        <v/>
      </c>
      <c r="E90" s="36"/>
      <c r="F90" s="36"/>
      <c r="G90" s="36"/>
      <c r="H90" s="36"/>
    </row>
    <row r="91" spans="1:8">
      <c r="A91" s="32"/>
      <c r="B91" s="33"/>
      <c r="C91" s="34"/>
      <c r="D91" s="35" t="str">
        <f>IFERROR(VLOOKUP(B91,Listado!$A$1048569:$B$1048576,2,),"")</f>
        <v/>
      </c>
      <c r="E91" s="36"/>
      <c r="F91" s="36"/>
      <c r="G91" s="36"/>
      <c r="H91" s="36"/>
    </row>
    <row r="92" spans="1:8">
      <c r="A92" s="32"/>
      <c r="B92" s="33"/>
      <c r="C92" s="34"/>
      <c r="D92" s="35" t="str">
        <f>IFERROR(VLOOKUP(B92,Listado!$A$1048569:$B$1048576,2,),"")</f>
        <v/>
      </c>
      <c r="E92" s="36"/>
      <c r="F92" s="36"/>
      <c r="G92" s="36"/>
      <c r="H92" s="36"/>
    </row>
    <row r="93" spans="1:8">
      <c r="A93" s="32"/>
      <c r="B93" s="33"/>
      <c r="C93" s="34"/>
      <c r="D93" s="35" t="str">
        <f>IFERROR(VLOOKUP(B93,Listado!$A$1048569:$B$1048576,2,),"")</f>
        <v/>
      </c>
      <c r="E93" s="36"/>
      <c r="F93" s="36"/>
      <c r="G93" s="36"/>
      <c r="H93" s="36"/>
    </row>
    <row r="94" spans="1:8">
      <c r="A94" s="32"/>
      <c r="B94" s="33"/>
      <c r="C94" s="34"/>
      <c r="D94" s="35" t="str">
        <f>IFERROR(VLOOKUP(B94,Listado!$A$1048569:$B$1048576,2,),"")</f>
        <v/>
      </c>
      <c r="E94" s="36"/>
      <c r="F94" s="36"/>
      <c r="G94" s="36"/>
      <c r="H94" s="36"/>
    </row>
    <row r="95" spans="1:8">
      <c r="A95" s="32"/>
      <c r="B95" s="33"/>
      <c r="C95" s="34"/>
      <c r="D95" s="35" t="str">
        <f>IFERROR(VLOOKUP(B95,Listado!$A$1048569:$B$1048576,2,),"")</f>
        <v/>
      </c>
      <c r="E95" s="36"/>
      <c r="F95" s="36"/>
      <c r="G95" s="36"/>
      <c r="H95" s="36"/>
    </row>
    <row r="96" spans="1:8">
      <c r="A96" s="32"/>
      <c r="B96" s="33"/>
      <c r="C96" s="34"/>
      <c r="D96" s="35" t="str">
        <f>IFERROR(VLOOKUP(B96,Listado!$A$1048569:$B$1048576,2,),"")</f>
        <v/>
      </c>
      <c r="E96" s="36"/>
      <c r="F96" s="36"/>
      <c r="G96" s="36"/>
      <c r="H96" s="36"/>
    </row>
    <row r="97" spans="1:8">
      <c r="A97" s="32"/>
      <c r="B97" s="33"/>
      <c r="C97" s="34"/>
      <c r="D97" s="35" t="str">
        <f>IFERROR(VLOOKUP(B97,Listado!$A$1048569:$B$1048576,2,),"")</f>
        <v/>
      </c>
      <c r="E97" s="36"/>
      <c r="F97" s="36"/>
      <c r="G97" s="36"/>
      <c r="H97" s="36"/>
    </row>
    <row r="98" spans="1:8">
      <c r="A98" s="32"/>
      <c r="B98" s="33"/>
      <c r="C98" s="34"/>
      <c r="D98" s="35" t="str">
        <f>IFERROR(VLOOKUP(B98,Listado!$A$1048569:$B$1048576,2,),"")</f>
        <v/>
      </c>
      <c r="E98" s="36"/>
      <c r="F98" s="36"/>
      <c r="G98" s="36"/>
      <c r="H98" s="36"/>
    </row>
    <row r="99" spans="1:8">
      <c r="A99" s="32"/>
      <c r="B99" s="33"/>
      <c r="C99" s="34"/>
      <c r="D99" s="35" t="str">
        <f>IFERROR(VLOOKUP(B99,Listado!$A$1048569:$B$1048576,2,),"")</f>
        <v/>
      </c>
      <c r="E99" s="36"/>
      <c r="F99" s="36"/>
      <c r="G99" s="36"/>
      <c r="H99" s="36"/>
    </row>
    <row r="100" spans="1:8">
      <c r="A100" s="32"/>
      <c r="B100" s="33"/>
      <c r="C100" s="34"/>
      <c r="D100" s="35" t="str">
        <f>IFERROR(VLOOKUP(B100,Listado!$A$1048569:$B$1048576,2,),"")</f>
        <v/>
      </c>
      <c r="E100" s="36"/>
      <c r="F100" s="36"/>
      <c r="G100" s="36"/>
      <c r="H100" s="36"/>
    </row>
  </sheetData>
  <sheetProtection algorithmName="SHA-512" hashValue="GW2074PTu6LSK67+eEkbXtu6nMEsXMPZvkfSt05CAq/UgWnMU1ouw1P45P0RWjluAuFtszfJFjqY82MDRdk3Tw==" saltValue="kUVxHFI/QLvIkc58tuTDaA==" spinCount="100000" sheet="1" objects="1" scenarios="1"/>
  <dataValidations count="1">
    <dataValidation type="date" operator="greaterThanOrEqual" allowBlank="1" showInputMessage="1" showErrorMessage="1" errorTitle="Fecha" error="Debe tener formato de fecha  (DD/MM/AAAA) y debe ser a partir del 01-dic-2023" sqref="A2:A100" xr:uid="{00000000-0002-0000-0000-000000000000}">
      <formula1>45261</formula1>
    </dataValidation>
  </dataValidations>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Listado!$A$1048569:$A$1048576</xm:f>
          </x14:formula1>
          <xm:sqref>B2:B100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B1:F51"/>
  <sheetViews>
    <sheetView showGridLines="0" tabSelected="1" zoomScale="70" zoomScaleNormal="70" workbookViewId="0">
      <selection activeCell="B2" sqref="B2:E2"/>
    </sheetView>
  </sheetViews>
  <sheetFormatPr defaultColWidth="11.42578125" defaultRowHeight="0" customHeight="1" zeroHeight="1"/>
  <cols>
    <col min="1" max="1" width="5.42578125" customWidth="1"/>
    <col min="2" max="2" width="8.42578125" style="1" bestFit="1" customWidth="1"/>
    <col min="3" max="3" width="47.7109375" style="1" customWidth="1"/>
    <col min="4" max="4" width="30.28515625" style="1" customWidth="1"/>
    <col min="5" max="5" width="88" style="1" customWidth="1"/>
    <col min="6" max="6" width="36.28515625" customWidth="1"/>
  </cols>
  <sheetData>
    <row r="1" spans="2:6" ht="15" customHeight="1" thickBot="1"/>
    <row r="2" spans="2:6" ht="39" customHeight="1">
      <c r="B2" s="90" t="s">
        <v>11</v>
      </c>
      <c r="C2" s="91"/>
      <c r="D2" s="91"/>
      <c r="E2" s="92"/>
    </row>
    <row r="3" spans="2:6" ht="16.5" customHeight="1">
      <c r="B3" s="79" t="s">
        <v>12</v>
      </c>
      <c r="C3" s="80"/>
      <c r="D3" s="93" t="s">
        <v>13</v>
      </c>
      <c r="E3" s="94"/>
    </row>
    <row r="4" spans="2:6" ht="54.75" customHeight="1">
      <c r="B4" s="95" t="s">
        <v>14</v>
      </c>
      <c r="C4" s="96"/>
      <c r="D4" s="97" t="s">
        <v>15</v>
      </c>
      <c r="E4" s="98"/>
    </row>
    <row r="5" spans="2:6" ht="16.350000000000001" customHeight="1" thickBot="1">
      <c r="B5" s="83" t="s">
        <v>16</v>
      </c>
      <c r="C5" s="84"/>
      <c r="D5" s="53" t="s">
        <v>17</v>
      </c>
      <c r="E5" s="54"/>
    </row>
    <row r="6" spans="2:6" ht="15.6">
      <c r="B6" s="79" t="s">
        <v>18</v>
      </c>
      <c r="C6" s="80"/>
      <c r="D6" s="80"/>
      <c r="E6" s="81"/>
    </row>
    <row r="7" spans="2:6" ht="15" customHeight="1">
      <c r="B7" s="48" t="s">
        <v>19</v>
      </c>
      <c r="C7" s="49"/>
      <c r="D7" s="62" t="s">
        <v>20</v>
      </c>
      <c r="E7" s="71"/>
    </row>
    <row r="8" spans="2:6" ht="15" customHeight="1">
      <c r="B8" s="48" t="s">
        <v>21</v>
      </c>
      <c r="C8" s="49"/>
      <c r="D8" s="62" t="s">
        <v>22</v>
      </c>
      <c r="E8" s="71"/>
    </row>
    <row r="9" spans="2:6" ht="15.75" customHeight="1" thickBot="1">
      <c r="B9" s="83" t="s">
        <v>23</v>
      </c>
      <c r="C9" s="84"/>
      <c r="D9" s="53" t="s">
        <v>24</v>
      </c>
      <c r="E9" s="54"/>
    </row>
    <row r="10" spans="2:6" ht="15.6">
      <c r="B10" s="79" t="s">
        <v>25</v>
      </c>
      <c r="C10" s="80"/>
      <c r="D10" s="80"/>
      <c r="E10" s="81"/>
    </row>
    <row r="11" spans="2:6" ht="15.6">
      <c r="B11" s="48" t="s">
        <v>26</v>
      </c>
      <c r="C11" s="49"/>
      <c r="D11" s="49"/>
      <c r="E11" s="82"/>
    </row>
    <row r="12" spans="2:6" ht="15.6" customHeight="1" thickBot="1">
      <c r="B12" s="48" t="s">
        <v>27</v>
      </c>
      <c r="C12" s="49"/>
      <c r="D12" s="49"/>
      <c r="E12" s="82"/>
    </row>
    <row r="13" spans="2:6" ht="15.6">
      <c r="B13" s="85" t="s">
        <v>28</v>
      </c>
      <c r="C13" s="86"/>
      <c r="D13" s="86"/>
      <c r="E13" s="87"/>
    </row>
    <row r="14" spans="2:6" ht="16.149999999999999" thickBot="1">
      <c r="B14" s="65" t="s">
        <v>29</v>
      </c>
      <c r="C14" s="66"/>
      <c r="D14" s="66"/>
      <c r="E14" s="67"/>
    </row>
    <row r="15" spans="2:6" ht="24" customHeight="1">
      <c r="B15" s="88" t="s">
        <v>30</v>
      </c>
      <c r="C15" s="89"/>
      <c r="D15" s="20" t="s">
        <v>31</v>
      </c>
      <c r="E15" s="21" t="s">
        <v>32</v>
      </c>
    </row>
    <row r="16" spans="2:6" ht="31.15">
      <c r="B16" s="72" t="s">
        <v>0</v>
      </c>
      <c r="C16" s="73"/>
      <c r="D16" s="8" t="s">
        <v>33</v>
      </c>
      <c r="E16" s="39" t="s">
        <v>34</v>
      </c>
      <c r="F16" s="42" t="s">
        <v>35</v>
      </c>
    </row>
    <row r="17" spans="2:6" ht="30" customHeight="1">
      <c r="B17" s="72" t="s">
        <v>1</v>
      </c>
      <c r="C17" s="73"/>
      <c r="D17" s="9" t="s">
        <v>36</v>
      </c>
      <c r="E17" s="40" t="s">
        <v>37</v>
      </c>
      <c r="F17" s="42" t="s">
        <v>35</v>
      </c>
    </row>
    <row r="18" spans="2:6" s="4" customFormat="1" ht="46.9">
      <c r="B18" s="72" t="s">
        <v>2</v>
      </c>
      <c r="C18" s="73"/>
      <c r="D18" s="8" t="s">
        <v>36</v>
      </c>
      <c r="E18" s="39" t="s">
        <v>38</v>
      </c>
      <c r="F18" s="43" t="s">
        <v>39</v>
      </c>
    </row>
    <row r="19" spans="2:6" s="4" customFormat="1" ht="31.15">
      <c r="B19" s="72" t="s">
        <v>3</v>
      </c>
      <c r="C19" s="73"/>
      <c r="D19" s="8" t="s">
        <v>36</v>
      </c>
      <c r="E19" s="39" t="s">
        <v>40</v>
      </c>
      <c r="F19" s="43" t="s">
        <v>39</v>
      </c>
    </row>
    <row r="20" spans="2:6" ht="61.9" customHeight="1">
      <c r="B20" s="72" t="s">
        <v>4</v>
      </c>
      <c r="C20" s="73"/>
      <c r="D20" s="2" t="s">
        <v>41</v>
      </c>
      <c r="E20" s="41" t="s">
        <v>42</v>
      </c>
      <c r="F20" s="44" t="s">
        <v>35</v>
      </c>
    </row>
    <row r="21" spans="2:6" ht="47.25" customHeight="1">
      <c r="B21" s="72" t="s">
        <v>5</v>
      </c>
      <c r="C21" s="73"/>
      <c r="D21" s="2" t="s">
        <v>41</v>
      </c>
      <c r="E21" s="41" t="s">
        <v>43</v>
      </c>
      <c r="F21" s="44" t="s">
        <v>35</v>
      </c>
    </row>
    <row r="22" spans="2:6" ht="31.5" customHeight="1">
      <c r="B22" s="72" t="s">
        <v>6</v>
      </c>
      <c r="C22" s="73"/>
      <c r="D22" s="2" t="s">
        <v>41</v>
      </c>
      <c r="E22" s="41" t="s">
        <v>44</v>
      </c>
      <c r="F22" s="44" t="s">
        <v>35</v>
      </c>
    </row>
    <row r="23" spans="2:6" ht="31.5" customHeight="1">
      <c r="B23" s="72" t="s">
        <v>7</v>
      </c>
      <c r="C23" s="73"/>
      <c r="D23" s="2" t="s">
        <v>41</v>
      </c>
      <c r="E23" s="41" t="s">
        <v>45</v>
      </c>
      <c r="F23" s="44" t="s">
        <v>35</v>
      </c>
    </row>
    <row r="24" spans="2:6" ht="44.1" customHeight="1" thickBot="1">
      <c r="B24" s="74"/>
      <c r="C24" s="75"/>
      <c r="D24" s="13"/>
      <c r="E24" s="14"/>
      <c r="F24" s="11"/>
    </row>
    <row r="25" spans="2:6" ht="16.5" customHeight="1">
      <c r="B25" s="76" t="s">
        <v>46</v>
      </c>
      <c r="C25" s="77"/>
      <c r="D25" s="77"/>
      <c r="E25" s="78"/>
    </row>
    <row r="26" spans="2:6" ht="37.5" customHeight="1">
      <c r="B26" s="61" t="s">
        <v>47</v>
      </c>
      <c r="C26" s="62"/>
      <c r="D26" s="62"/>
      <c r="E26" s="71"/>
    </row>
    <row r="27" spans="2:6" ht="44.25" customHeight="1">
      <c r="B27" s="55" t="s">
        <v>48</v>
      </c>
      <c r="C27" s="56"/>
      <c r="D27" s="56"/>
      <c r="E27" s="57"/>
    </row>
    <row r="28" spans="2:6" ht="44.25" customHeight="1">
      <c r="B28" s="55" t="s">
        <v>49</v>
      </c>
      <c r="C28" s="56"/>
      <c r="D28" s="56"/>
      <c r="E28" s="57"/>
    </row>
    <row r="29" spans="2:6" ht="15.6">
      <c r="B29" s="45" t="s">
        <v>50</v>
      </c>
      <c r="C29" s="46"/>
      <c r="D29" s="46"/>
      <c r="E29" s="47"/>
    </row>
    <row r="30" spans="2:6" ht="75.599999999999994" customHeight="1">
      <c r="B30" s="65" t="s">
        <v>51</v>
      </c>
      <c r="C30" s="66"/>
      <c r="D30" s="66"/>
      <c r="E30" s="67"/>
    </row>
    <row r="31" spans="2:6" ht="57" customHeight="1" thickBot="1">
      <c r="B31" s="68" t="s">
        <v>52</v>
      </c>
      <c r="C31" s="69"/>
      <c r="D31" s="69"/>
      <c r="E31" s="70"/>
    </row>
    <row r="32" spans="2:6" ht="16.5" customHeight="1">
      <c r="B32" s="58" t="s">
        <v>53</v>
      </c>
      <c r="C32" s="59"/>
      <c r="D32" s="59"/>
      <c r="E32" s="60"/>
    </row>
    <row r="33" spans="2:6" ht="16.5" customHeight="1">
      <c r="B33" s="61" t="s">
        <v>54</v>
      </c>
      <c r="C33" s="62"/>
      <c r="D33" s="63" t="s">
        <v>55</v>
      </c>
      <c r="E33" s="64"/>
    </row>
    <row r="34" spans="2:6" ht="16.5" customHeight="1">
      <c r="B34" s="61" t="s">
        <v>56</v>
      </c>
      <c r="C34" s="62"/>
      <c r="D34" s="63" t="s">
        <v>57</v>
      </c>
      <c r="E34" s="64"/>
    </row>
    <row r="35" spans="2:6" ht="16.5" customHeight="1">
      <c r="B35" s="48" t="s">
        <v>58</v>
      </c>
      <c r="C35" s="49"/>
      <c r="D35" s="50">
        <v>45211</v>
      </c>
      <c r="E35" s="51"/>
    </row>
    <row r="36" spans="2:6" ht="16.149999999999999" thickBot="1">
      <c r="B36" s="52" t="s">
        <v>59</v>
      </c>
      <c r="C36" s="53"/>
      <c r="D36" s="53"/>
      <c r="E36" s="54"/>
    </row>
    <row r="37" spans="2:6" ht="13.5" customHeight="1">
      <c r="B37" s="29" t="s">
        <v>60</v>
      </c>
      <c r="C37" s="30" t="s">
        <v>33</v>
      </c>
      <c r="D37" s="27" t="s">
        <v>61</v>
      </c>
      <c r="E37" s="31" t="s">
        <v>62</v>
      </c>
    </row>
    <row r="38" spans="2:6" ht="16.5" customHeight="1">
      <c r="B38" s="22" t="s">
        <v>63</v>
      </c>
      <c r="C38" s="5">
        <v>43763</v>
      </c>
      <c r="D38" s="6" t="s">
        <v>64</v>
      </c>
      <c r="E38" s="3" t="s">
        <v>65</v>
      </c>
    </row>
    <row r="39" spans="2:6" ht="15.6">
      <c r="B39" s="22" t="s">
        <v>66</v>
      </c>
      <c r="C39" s="5">
        <v>44147</v>
      </c>
      <c r="D39" s="6" t="s">
        <v>67</v>
      </c>
      <c r="E39" s="7" t="s">
        <v>68</v>
      </c>
    </row>
    <row r="40" spans="2:6" ht="15.6">
      <c r="B40" s="22" t="s">
        <v>69</v>
      </c>
      <c r="C40" s="5">
        <v>44573</v>
      </c>
      <c r="D40" s="6" t="s">
        <v>67</v>
      </c>
      <c r="E40" s="10" t="s">
        <v>70</v>
      </c>
    </row>
    <row r="41" spans="2:6" s="1" customFormat="1" ht="15.6">
      <c r="B41" s="22" t="s">
        <v>71</v>
      </c>
      <c r="C41" s="5">
        <v>45211</v>
      </c>
      <c r="D41" s="6" t="s">
        <v>72</v>
      </c>
      <c r="E41" s="10" t="s">
        <v>70</v>
      </c>
      <c r="F41" s="18"/>
    </row>
    <row r="42" spans="2:6" ht="16.149999999999999" thickBot="1">
      <c r="B42" s="23" t="s">
        <v>55</v>
      </c>
      <c r="C42" s="15">
        <v>45505</v>
      </c>
      <c r="D42" s="16" t="s">
        <v>72</v>
      </c>
      <c r="E42" s="17" t="s">
        <v>70</v>
      </c>
    </row>
    <row r="43" spans="2:6" ht="15.6"/>
    <row r="44" spans="2:6" ht="15.6"/>
    <row r="45" spans="2:6" ht="15.6"/>
    <row r="46" spans="2:6" ht="15.6"/>
    <row r="47" spans="2:6" ht="15.6"/>
    <row r="48" spans="2:6" ht="16.350000000000001" customHeight="1"/>
    <row r="49" ht="15.6"/>
    <row r="50" ht="15.6"/>
    <row r="51" ht="15.6"/>
  </sheetData>
  <mergeCells count="44">
    <mergeCell ref="B5:C5"/>
    <mergeCell ref="D5:E5"/>
    <mergeCell ref="B7:C7"/>
    <mergeCell ref="D7:E7"/>
    <mergeCell ref="B8:C8"/>
    <mergeCell ref="D8:E8"/>
    <mergeCell ref="B2:E2"/>
    <mergeCell ref="B3:C3"/>
    <mergeCell ref="D3:E3"/>
    <mergeCell ref="B4:C4"/>
    <mergeCell ref="D4:E4"/>
    <mergeCell ref="B19:C19"/>
    <mergeCell ref="B6:E6"/>
    <mergeCell ref="B10:E10"/>
    <mergeCell ref="B11:E11"/>
    <mergeCell ref="B12:E12"/>
    <mergeCell ref="B9:C9"/>
    <mergeCell ref="D9:E9"/>
    <mergeCell ref="B16:C16"/>
    <mergeCell ref="B13:E13"/>
    <mergeCell ref="B14:E14"/>
    <mergeCell ref="B15:C15"/>
    <mergeCell ref="B17:C17"/>
    <mergeCell ref="B18:C18"/>
    <mergeCell ref="B26:E26"/>
    <mergeCell ref="B20:C20"/>
    <mergeCell ref="B21:C21"/>
    <mergeCell ref="B22:C22"/>
    <mergeCell ref="B23:C23"/>
    <mergeCell ref="B24:C24"/>
    <mergeCell ref="B25:E25"/>
    <mergeCell ref="B29:E29"/>
    <mergeCell ref="B35:C35"/>
    <mergeCell ref="D35:E35"/>
    <mergeCell ref="B36:E36"/>
    <mergeCell ref="B27:E27"/>
    <mergeCell ref="B28:E28"/>
    <mergeCell ref="B32:E32"/>
    <mergeCell ref="B33:C33"/>
    <mergeCell ref="D33:E33"/>
    <mergeCell ref="B34:C34"/>
    <mergeCell ref="D34:E34"/>
    <mergeCell ref="B30:E30"/>
    <mergeCell ref="B31:E3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048568:B1048576"/>
  <sheetViews>
    <sheetView topLeftCell="A1048555" zoomScale="85" zoomScaleNormal="85" workbookViewId="0">
      <selection activeCell="A1048568" sqref="A1048568"/>
    </sheetView>
  </sheetViews>
  <sheetFormatPr defaultColWidth="11.42578125" defaultRowHeight="14.45"/>
  <cols>
    <col min="1" max="1" width="16.5703125" bestFit="1" customWidth="1"/>
  </cols>
  <sheetData>
    <row r="1048568" spans="1:2" ht="46.9">
      <c r="A1048568" s="12" t="s">
        <v>1</v>
      </c>
      <c r="B1048568" s="12" t="s">
        <v>73</v>
      </c>
    </row>
    <row r="1048569" spans="1:2">
      <c r="A1048569" s="24" t="s">
        <v>8</v>
      </c>
      <c r="B1048569" s="25" t="s">
        <v>74</v>
      </c>
    </row>
    <row r="1048570" spans="1:2">
      <c r="A1048570" s="24" t="s">
        <v>75</v>
      </c>
      <c r="B1048570" s="25" t="s">
        <v>74</v>
      </c>
    </row>
    <row r="1048571" spans="1:2">
      <c r="A1048571" s="24" t="s">
        <v>10</v>
      </c>
      <c r="B1048571" s="25" t="s">
        <v>74</v>
      </c>
    </row>
    <row r="1048572" spans="1:2">
      <c r="A1048572" s="24" t="s">
        <v>76</v>
      </c>
      <c r="B1048572" s="25" t="s">
        <v>74</v>
      </c>
    </row>
    <row r="1048573" spans="1:2">
      <c r="A1048573" s="26" t="s">
        <v>77</v>
      </c>
      <c r="B1048573" s="25" t="s">
        <v>78</v>
      </c>
    </row>
    <row r="1048574" spans="1:2">
      <c r="A1048574" s="26" t="s">
        <v>79</v>
      </c>
      <c r="B1048574" s="25" t="s">
        <v>74</v>
      </c>
    </row>
    <row r="1048575" spans="1:2">
      <c r="A1048575" s="26" t="s">
        <v>80</v>
      </c>
      <c r="B1048575" s="25" t="s">
        <v>74</v>
      </c>
    </row>
    <row r="1048576" spans="1:2">
      <c r="A1048576" s="25" t="s">
        <v>81</v>
      </c>
      <c r="B1048576" s="25" t="s">
        <v>74</v>
      </c>
    </row>
  </sheetData>
  <sheetProtection algorithmName="SHA-512" hashValue="7OURfEqeTjT1tnbCqEcjvybDGM26utk2CW8qn6482tP2Fjl5BZU5Cpw3cLCJs3NgpsFkXDStLC/5ArG8StHznQ==" saltValue="KRctI/kJB+jFBO6ArOlrjA=="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367B37C79C22C478986C569752C2ED1" ma:contentTypeVersion="7" ma:contentTypeDescription="Crear nuevo documento." ma:contentTypeScope="" ma:versionID="9033d410477d3f1e870ae3b744d9f9af">
  <xsd:schema xmlns:xsd="http://www.w3.org/2001/XMLSchema" xmlns:xs="http://www.w3.org/2001/XMLSchema" xmlns:p="http://schemas.microsoft.com/office/2006/metadata/properties" xmlns:ns2="2970762a-8f06-4f3c-907d-6376f0612b02" xmlns:ns3="f9339d1e-3747-4fe6-89e8-b60417156305" targetNamespace="http://schemas.microsoft.com/office/2006/metadata/properties" ma:root="true" ma:fieldsID="f3e601b92dfc8803b153be1da6fc42b4" ns2:_="" ns3:_="">
    <xsd:import namespace="2970762a-8f06-4f3c-907d-6376f0612b02"/>
    <xsd:import namespace="f9339d1e-3747-4fe6-89e8-b60417156305"/>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70762a-8f06-4f3c-907d-6376f0612b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339d1e-3747-4fe6-89e8-b60417156305"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F60EF80-39F1-4E79-BC82-E1031A400390}"/>
</file>

<file path=customXml/itemProps2.xml><?xml version="1.0" encoding="utf-8"?>
<ds:datastoreItem xmlns:ds="http://schemas.openxmlformats.org/officeDocument/2006/customXml" ds:itemID="{7EBA6A00-BD73-4E88-B722-3CFFD337DD99}"/>
</file>

<file path=customXml/itemProps3.xml><?xml version="1.0" encoding="utf-8"?>
<ds:datastoreItem xmlns:ds="http://schemas.openxmlformats.org/officeDocument/2006/customXml" ds:itemID="{38A0259B-88A1-4C1D-83EE-FCB3CCC4BC1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PCCOM</dc:creator>
  <cp:keywords/>
  <dc:description/>
  <cp:lastModifiedBy>PAULA ALEJANDRA ARIAS TORRES</cp:lastModifiedBy>
  <cp:revision/>
  <dcterms:created xsi:type="dcterms:W3CDTF">2014-06-09T20:42:56Z</dcterms:created>
  <dcterms:modified xsi:type="dcterms:W3CDTF">2025-07-13T14:39:26Z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7150f71d-6d0d-440e-aac9-10b75115688b</vt:lpwstr>
  </property>
  <property fmtid="{D5CDD505-2E9C-101B-9397-08002B2CF9AE}" pid="3" name="ContentTypeId">
    <vt:lpwstr>0x010100F367B37C79C22C478986C569752C2ED1</vt:lpwstr>
  </property>
  <property fmtid="{D5CDD505-2E9C-101B-9397-08002B2CF9AE}" pid="4" name="IsMyDocuments">
    <vt:bool>true</vt:bool>
  </property>
</Properties>
</file>